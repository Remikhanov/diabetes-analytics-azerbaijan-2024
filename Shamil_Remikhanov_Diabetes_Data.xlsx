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🔴 Raw Data (Qarışıq)" sheetId="1" state="visible" r:id="rId1"/>
    <sheet xmlns:r="http://schemas.openxmlformats.org/officeDocument/2006/relationships" name="✅ Təmiz Data (Cleaned)" sheetId="2" state="visible" r:id="rId2"/>
    <sheet xmlns:r="http://schemas.openxmlformats.org/officeDocument/2006/relationships" name="📊 Regional Xülas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D3E"/>
      <sz val="10"/>
    </font>
    <font>
      <name val="Calibri"/>
      <i val="1"/>
      <color rgb="00C94040"/>
      <sz val="10"/>
    </font>
    <font>
      <name val="Calibri"/>
      <color rgb="00E8A020"/>
      <sz val="10"/>
    </font>
    <font>
      <name val="Calibri"/>
      <b val="1"/>
      <color rgb="000D1B2A"/>
      <sz val="10"/>
    </font>
    <font>
      <name val="Calibri"/>
      <color rgb="00C94040"/>
      <sz val="10"/>
    </font>
    <font>
      <name val="Calibri"/>
      <color rgb="005A7A90"/>
      <sz val="10"/>
    </font>
    <font>
      <name val="Calibri"/>
      <b val="1"/>
      <color rgb="000F9E78"/>
      <sz val="10"/>
    </font>
    <font>
      <name val="Calibri"/>
      <b val="1"/>
      <color rgb="00C94040"/>
      <sz val="10"/>
    </font>
    <font>
      <name val="Calibri"/>
      <color rgb="000F9E78"/>
      <sz val="10"/>
    </font>
    <font>
      <name val="Calibri"/>
      <b val="1"/>
      <color rgb="00FFFFFF"/>
      <sz val="12"/>
    </font>
    <font>
      <name val="Calibri"/>
      <b val="1"/>
      <color rgb="00E8A020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A32D2D"/>
      </patternFill>
    </fill>
    <fill>
      <patternFill patternType="solid">
        <fgColor rgb="000D1B2A"/>
      </patternFill>
    </fill>
    <fill>
      <patternFill patternType="solid">
        <fgColor rgb="00F4F8FB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FFF3CD"/>
      </patternFill>
    </fill>
    <fill>
      <patternFill patternType="solid">
        <fgColor rgb="000F9E78"/>
      </patternFill>
    </fill>
    <fill>
      <patternFill patternType="solid">
        <fgColor rgb="00162535"/>
      </patternFill>
    </fill>
    <fill>
      <patternFill patternType="solid">
        <fgColor rgb="00E1F5E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0" fillId="10" borderId="0" pivotButton="0" quotePrefix="0" xfId="0"/>
    <xf numFmtId="0" fontId="10" fillId="10" borderId="0" applyAlignment="1" pivotButton="0" quotePrefix="0" xfId="0">
      <alignment horizontal="left" vertical="center"/>
    </xf>
    <xf numFmtId="0" fontId="4" fillId="7" borderId="0" pivotButton="0" quotePrefix="0" xfId="0"/>
    <xf numFmtId="0" fontId="6" fillId="6" borderId="0" pivotButton="0" quotePrefix="0" xfId="0"/>
    <xf numFmtId="0" fontId="1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8" customWidth="1" min="4" max="4"/>
    <col width="9" customWidth="1" min="5" max="5"/>
    <col width="12" customWidth="1" min="6" max="6"/>
    <col width="16" customWidth="1" min="7" max="7"/>
    <col width="10" customWidth="1" min="8" max="8"/>
    <col width="16" customWidth="1" min="9" max="9"/>
    <col width="10" customWidth="1" min="10" max="10"/>
    <col width="18" customWidth="1" min="11" max="11"/>
    <col width="20" customWidth="1" min="12" max="12"/>
    <col width="14" customWidth="1" min="13" max="13"/>
    <col width="14" customWidth="1" min="14" max="14"/>
    <col width="26" customWidth="1" min="16" max="16"/>
    <col width="5" customWidth="1" min="17" max="17"/>
  </cols>
  <sheetData>
    <row r="1" ht="24" customHeight="1">
      <c r="A1" s="1" t="inlineStr">
        <is>
          <t>⚠️  XAM / İLKİN MƏLUMAT — Təmizlənməmişdir  |  Mənbə: EHR Sistemi + Klinika Sorğuları  |  İl: 2024</t>
        </is>
      </c>
    </row>
    <row r="2" ht="20" customHeight="1">
      <c r="A2" s="2" t="inlineStr">
        <is>
          <t>pasiyent_id</t>
        </is>
      </c>
      <c r="B2" s="2" t="inlineStr">
        <is>
          <t>qeydiyyat_tarixi</t>
        </is>
      </c>
      <c r="C2" s="2" t="inlineStr">
        <is>
          <t>ad_soyad</t>
        </is>
      </c>
      <c r="D2" s="2" t="inlineStr">
        <is>
          <t>yas</t>
        </is>
      </c>
      <c r="E2" s="2" t="inlineStr">
        <is>
          <t>cins</t>
        </is>
      </c>
      <c r="F2" s="2" t="inlineStr">
        <is>
          <t>region</t>
        </is>
      </c>
      <c r="G2" s="2" t="inlineStr">
        <is>
          <t>diaqnoz</t>
        </is>
      </c>
      <c r="H2" s="2" t="inlineStr">
        <is>
          <t>hba1c_%</t>
        </is>
      </c>
      <c r="I2" s="2" t="inlineStr">
        <is>
          <t>beden_kutlesi_kq</t>
        </is>
      </c>
      <c r="J2" s="2" t="inlineStr">
        <is>
          <t>boy_sm</t>
        </is>
      </c>
      <c r="K2" s="2" t="inlineStr">
        <is>
          <t>muaLice_uyğunluğu</t>
        </is>
      </c>
      <c r="L2" s="2" t="inlineStr">
        <is>
          <t>darixdirici_qeyd</t>
        </is>
      </c>
      <c r="M2" s="2" t="inlineStr">
        <is>
          <t>muayine_sayi</t>
        </is>
      </c>
      <c r="N2" s="2" t="inlineStr">
        <is>
          <t>son_ziyaret</t>
        </is>
      </c>
      <c r="P2" s="3" t="inlineStr">
        <is>
          <t>PROBLEM TİPLƏRİ</t>
        </is>
      </c>
    </row>
    <row r="3" ht="17" customHeight="1">
      <c r="A3" s="4" t="inlineStr">
        <is>
          <t>PT-1000</t>
        </is>
      </c>
      <c r="B3" s="4" t="inlineStr">
        <is>
          <t>23/11/2024</t>
        </is>
      </c>
      <c r="C3" s="4" t="inlineStr">
        <is>
          <t>Leyla H.</t>
        </is>
      </c>
      <c r="D3" s="4" t="n">
        <v>23</v>
      </c>
      <c r="E3" s="4" t="inlineStr">
        <is>
          <t>Qadın</t>
        </is>
      </c>
      <c r="F3" s="4" t="inlineStr">
        <is>
          <t>Sumqayıt</t>
        </is>
      </c>
      <c r="G3" s="4" t="inlineStr">
        <is>
          <t>Tip 2 Diabet</t>
        </is>
      </c>
      <c r="H3" s="4" t="n">
        <v>7.1</v>
      </c>
      <c r="I3" s="4" t="n">
        <v>110.2</v>
      </c>
      <c r="J3" s="4" t="n">
        <v>189</v>
      </c>
      <c r="K3" s="4" t="inlineStr">
        <is>
          <t>Bəli</t>
        </is>
      </c>
      <c r="L3" s="4" t="inlineStr">
        <is>
          <t>NULL</t>
        </is>
      </c>
      <c r="M3" s="4" t="n">
        <v>7</v>
      </c>
      <c r="N3" s="4" t="inlineStr">
        <is>
          <t>01.12.2024</t>
        </is>
      </c>
      <c r="P3" s="5" t="inlineStr">
        <is>
          <t>🔴 Boş / N/A dəyər</t>
        </is>
      </c>
    </row>
    <row r="4" ht="17" customHeight="1">
      <c r="A4" s="6" t="inlineStr">
        <is>
          <t>PT-1001</t>
        </is>
      </c>
      <c r="B4" s="6" t="inlineStr">
        <is>
          <t>16/01/2024</t>
        </is>
      </c>
      <c r="C4" s="6" t="inlineStr">
        <is>
          <t>Leyla H.</t>
        </is>
      </c>
      <c r="D4" s="6" t="n">
        <v>35</v>
      </c>
      <c r="E4" s="6" t="inlineStr">
        <is>
          <t>Kişi</t>
        </is>
      </c>
      <c r="F4" s="6" t="inlineStr">
        <is>
          <t>Şirvan</t>
        </is>
      </c>
      <c r="G4" s="6" t="inlineStr">
        <is>
          <t>Tip 2 Diabet</t>
        </is>
      </c>
      <c r="H4" s="6" t="n">
        <v>9.199999999999999</v>
      </c>
      <c r="I4" s="6" t="n">
        <v>97.09999999999999</v>
      </c>
      <c r="J4" s="6" t="n">
        <v>189</v>
      </c>
      <c r="K4" s="6" t="inlineStr">
        <is>
          <t>XEYR</t>
        </is>
      </c>
      <c r="L4" s="6" t="inlineStr">
        <is>
          <t>Gecikmiş müraciət</t>
        </is>
      </c>
      <c r="M4" s="6" t="n">
        <v>8</v>
      </c>
      <c r="N4" s="6" t="inlineStr">
        <is>
          <t>14.06.2024</t>
        </is>
      </c>
      <c r="P4" s="7" t="inlineStr">
        <is>
          <t>🟡 Format / Tutarsızlıq</t>
        </is>
      </c>
    </row>
    <row r="5" ht="17" customHeight="1">
      <c r="A5" s="4" t="inlineStr">
        <is>
          <t>PT-1002</t>
        </is>
      </c>
      <c r="B5" s="4" t="inlineStr">
        <is>
          <t>22/05/2024</t>
        </is>
      </c>
      <c r="C5" s="4" t="inlineStr">
        <is>
          <t>Əli M.</t>
        </is>
      </c>
      <c r="D5" s="4" t="n">
        <v>70</v>
      </c>
      <c r="E5" s="4" t="inlineStr">
        <is>
          <t>Kişi</t>
        </is>
      </c>
      <c r="F5" s="4" t="inlineStr">
        <is>
          <t>Lənkəran</t>
        </is>
      </c>
      <c r="G5" s="4" t="inlineStr">
        <is>
          <t>Tip 2 Diabet</t>
        </is>
      </c>
      <c r="H5" s="4" t="n">
        <v>7.7</v>
      </c>
      <c r="I5" s="4" t="n">
        <v>66.7</v>
      </c>
      <c r="J5" s="4" t="n">
        <v>176</v>
      </c>
      <c r="K5" s="4" t="inlineStr">
        <is>
          <t>Bəli</t>
        </is>
      </c>
      <c r="L5" s="4" t="inlineStr">
        <is>
          <t>—</t>
        </is>
      </c>
      <c r="M5" s="4" t="n">
        <v>7</v>
      </c>
      <c r="N5" s="4" t="inlineStr">
        <is>
          <t>15.06.2024</t>
        </is>
      </c>
      <c r="P5" s="7" t="inlineStr">
        <is>
          <t>🟡 Dublikat sətir</t>
        </is>
      </c>
    </row>
    <row r="6" ht="17" customHeight="1">
      <c r="A6" s="6" t="inlineStr">
        <is>
          <t>PT-1003</t>
        </is>
      </c>
      <c r="B6" s="6" t="inlineStr">
        <is>
          <t>02/07/2024</t>
        </is>
      </c>
      <c r="C6" s="6" t="inlineStr">
        <is>
          <t>Aytən N.</t>
        </is>
      </c>
      <c r="D6" s="6" t="n">
        <v>60</v>
      </c>
      <c r="E6" s="6" t="inlineStr">
        <is>
          <t>Qadın</t>
        </is>
      </c>
      <c r="F6" s="6" t="inlineStr">
        <is>
          <t>Bakı</t>
        </is>
      </c>
      <c r="G6" s="6" t="inlineStr">
        <is>
          <t>Tip 2 Diabet</t>
        </is>
      </c>
      <c r="H6" s="6" t="n">
        <v>10</v>
      </c>
      <c r="I6" s="6" t="n">
        <v>95.2</v>
      </c>
      <c r="J6" s="6" t="n">
        <v>179</v>
      </c>
      <c r="K6" s="6" t="inlineStr">
        <is>
          <t>Bəli</t>
        </is>
      </c>
      <c r="L6" s="6" t="inlineStr">
        <is>
          <t>NULL</t>
        </is>
      </c>
      <c r="M6" s="6" t="n">
        <v>5</v>
      </c>
      <c r="N6" s="6" t="inlineStr">
        <is>
          <t>09.12.2024</t>
        </is>
      </c>
      <c r="P6" s="6" t="inlineStr">
        <is>
          <t>⬜ Normal məlumat</t>
        </is>
      </c>
    </row>
    <row r="7" ht="17" customHeight="1">
      <c r="A7" s="4" t="inlineStr">
        <is>
          <t>PT-1004</t>
        </is>
      </c>
      <c r="B7" s="4" t="inlineStr">
        <is>
          <t>12/11/2024</t>
        </is>
      </c>
      <c r="C7" s="4" t="inlineStr">
        <is>
          <t>Aytən N.</t>
        </is>
      </c>
      <c r="D7" s="4" t="n">
        <v>58</v>
      </c>
      <c r="E7" s="4" t="inlineStr">
        <is>
          <t>Kişi</t>
        </is>
      </c>
      <c r="F7" s="4" t="inlineStr">
        <is>
          <t>Bakı</t>
        </is>
      </c>
      <c r="G7" s="4" t="inlineStr">
        <is>
          <t>Tip 2 Diabet</t>
        </is>
      </c>
      <c r="H7" s="4" t="n">
        <v>6.1</v>
      </c>
      <c r="I7" s="4" t="n">
        <v>72.09999999999999</v>
      </c>
      <c r="J7" s="4" t="n">
        <v>173</v>
      </c>
      <c r="K7" s="4" t="inlineStr">
        <is>
          <t>Bəli</t>
        </is>
      </c>
      <c r="L7" s="4" t="inlineStr">
        <is>
          <t>n/a</t>
        </is>
      </c>
      <c r="M7" s="4" t="n">
        <v>4</v>
      </c>
      <c r="N7" s="4" t="inlineStr">
        <is>
          <t>07.12.2024</t>
        </is>
      </c>
    </row>
    <row r="8" ht="17" customHeight="1">
      <c r="A8" s="6" t="inlineStr">
        <is>
          <t>PT-1005</t>
        </is>
      </c>
      <c r="B8" s="6" t="inlineStr">
        <is>
          <t>13/07/2024</t>
        </is>
      </c>
      <c r="C8" s="6" t="inlineStr">
        <is>
          <t>Elvin K.</t>
        </is>
      </c>
      <c r="D8" s="8" t="inlineStr">
        <is>
          <t>iyirmi dörd</t>
        </is>
      </c>
      <c r="E8" s="6" t="inlineStr">
        <is>
          <t>Qadın</t>
        </is>
      </c>
      <c r="F8" s="6" t="inlineStr">
        <is>
          <t>Sumqayıt</t>
        </is>
      </c>
      <c r="G8" s="6" t="inlineStr">
        <is>
          <t>Tip 2 Diabet</t>
        </is>
      </c>
      <c r="H8" s="8" t="n">
        <v>7.9</v>
      </c>
      <c r="I8" s="6" t="n">
        <v>70.7</v>
      </c>
      <c r="J8" s="8" t="n">
        <v>172</v>
      </c>
      <c r="K8" s="6" t="inlineStr">
        <is>
          <t>x</t>
        </is>
      </c>
      <c r="L8" s="6" t="inlineStr">
        <is>
          <t>Yoxdur</t>
        </is>
      </c>
      <c r="M8" s="6" t="n">
        <v>11</v>
      </c>
      <c r="N8" s="6" t="inlineStr">
        <is>
          <t>31.07.2024</t>
        </is>
      </c>
      <c r="P8" s="3" t="inlineStr">
        <is>
          <t>PROBLEM XÜLASƏ</t>
        </is>
      </c>
    </row>
    <row r="9" ht="17" customHeight="1">
      <c r="A9" s="4" t="inlineStr">
        <is>
          <t>PT-1006</t>
        </is>
      </c>
      <c r="B9" s="4" t="inlineStr">
        <is>
          <t>07/11/2024</t>
        </is>
      </c>
      <c r="C9" s="4" t="inlineStr">
        <is>
          <t>Rauf S.</t>
        </is>
      </c>
      <c r="D9" s="4" t="n">
        <v>56</v>
      </c>
      <c r="E9" s="4" t="inlineStr">
        <is>
          <t>Kişi</t>
        </is>
      </c>
      <c r="F9" s="4" t="inlineStr">
        <is>
          <t>Sumqayıt</t>
        </is>
      </c>
      <c r="G9" s="4" t="inlineStr">
        <is>
          <t>Tip 2 Diabet</t>
        </is>
      </c>
      <c r="H9" s="4" t="n">
        <v>8.4</v>
      </c>
      <c r="I9" s="4" t="n">
        <v>75.2</v>
      </c>
      <c r="J9" s="4" t="n">
        <v>190</v>
      </c>
      <c r="K9" s="4" t="inlineStr">
        <is>
          <t>Xeyr</t>
        </is>
      </c>
      <c r="L9" s="4" t="inlineStr">
        <is>
          <t>Yoxdur</t>
        </is>
      </c>
      <c r="M9" s="4" t="n">
        <v>6</v>
      </c>
      <c r="N9" s="4" t="inlineStr">
        <is>
          <t>21.11.2024</t>
        </is>
      </c>
      <c r="P9" s="9" t="inlineStr">
        <is>
          <t>Ümumi sətir:</t>
        </is>
      </c>
      <c r="Q9" s="10" t="n">
        <v>80</v>
      </c>
    </row>
    <row r="10" ht="17" customHeight="1">
      <c r="A10" s="6" t="inlineStr">
        <is>
          <t>PT-1007</t>
        </is>
      </c>
      <c r="B10" s="6" t="inlineStr">
        <is>
          <t>27/04/2024</t>
        </is>
      </c>
      <c r="C10" s="6" t="inlineStr">
        <is>
          <t>Əli M.</t>
        </is>
      </c>
      <c r="D10" s="6" t="n">
        <v>73</v>
      </c>
      <c r="E10" s="6" t="inlineStr">
        <is>
          <t>Qadın</t>
        </is>
      </c>
      <c r="F10" s="6" t="inlineStr">
        <is>
          <t>Lənkəran</t>
        </is>
      </c>
      <c r="G10" s="6" t="inlineStr">
        <is>
          <t>Tip 2 Diabet</t>
        </is>
      </c>
      <c r="H10" s="6" t="n">
        <v>7.3</v>
      </c>
      <c r="I10" s="6" t="n">
        <v>70.8</v>
      </c>
      <c r="J10" s="6" t="n">
        <v>175</v>
      </c>
      <c r="K10" s="6" t="inlineStr">
        <is>
          <t>Xeyr</t>
        </is>
      </c>
      <c r="L10" s="6" t="inlineStr">
        <is>
          <t>Yoxdur</t>
        </is>
      </c>
      <c r="M10" s="6" t="n">
        <v>8</v>
      </c>
      <c r="N10" s="6" t="inlineStr">
        <is>
          <t>06.08.2024</t>
        </is>
      </c>
      <c r="P10" s="9" t="inlineStr">
        <is>
          <t>Boş dəyər:</t>
        </is>
      </c>
      <c r="Q10" s="11" t="n">
        <v>4</v>
      </c>
    </row>
    <row r="11" ht="17" customHeight="1">
      <c r="A11" s="4" t="inlineStr">
        <is>
          <t>PT-1008</t>
        </is>
      </c>
      <c r="B11" s="4" t="inlineStr">
        <is>
          <t>25/11/2024</t>
        </is>
      </c>
      <c r="C11" s="4" t="inlineStr">
        <is>
          <t>Sevinc R.</t>
        </is>
      </c>
      <c r="D11" s="4" t="n">
        <v>31</v>
      </c>
      <c r="E11" s="4" t="inlineStr">
        <is>
          <t>Qadın</t>
        </is>
      </c>
      <c r="F11" s="4" t="inlineStr">
        <is>
          <t>Sumqayıt</t>
        </is>
      </c>
      <c r="G11" s="4" t="inlineStr">
        <is>
          <t>Tip 2 Diabet</t>
        </is>
      </c>
      <c r="H11" s="4" t="n">
        <v>7.2</v>
      </c>
      <c r="I11" s="4" t="n">
        <v>97.09999999999999</v>
      </c>
      <c r="J11" s="4" t="n">
        <v>171</v>
      </c>
      <c r="K11" s="4" t="inlineStr">
        <is>
          <t>x</t>
        </is>
      </c>
      <c r="L11" s="4" t="inlineStr">
        <is>
          <t>NULL</t>
        </is>
      </c>
      <c r="M11" s="4" t="n">
        <v>7</v>
      </c>
      <c r="N11" s="4" t="inlineStr">
        <is>
          <t>23.04.2025</t>
        </is>
      </c>
      <c r="P11" s="9" t="inlineStr">
        <is>
          <t>Format xətası:</t>
        </is>
      </c>
      <c r="Q11" s="11" t="n">
        <v>3</v>
      </c>
    </row>
    <row r="12" ht="17" customHeight="1">
      <c r="A12" s="6" t="inlineStr">
        <is>
          <t>PT-1009</t>
        </is>
      </c>
      <c r="B12" s="6" t="inlineStr">
        <is>
          <t>23/07/2024</t>
        </is>
      </c>
      <c r="C12" s="6" t="inlineStr">
        <is>
          <t>Aytən N.</t>
        </is>
      </c>
      <c r="D12" s="6" t="n">
        <v>36</v>
      </c>
      <c r="E12" s="6" t="inlineStr">
        <is>
          <t>Kişi</t>
        </is>
      </c>
      <c r="F12" s="6" t="inlineStr">
        <is>
          <t>Şirvan</t>
        </is>
      </c>
      <c r="G12" s="6" t="inlineStr">
        <is>
          <t>Tip 2 Diabet</t>
        </is>
      </c>
      <c r="H12" s="6" t="n">
        <v>8.6</v>
      </c>
      <c r="I12" s="6" t="n">
        <v>111.7</v>
      </c>
      <c r="J12" s="6" t="n">
        <v>162</v>
      </c>
      <c r="K12" s="6" t="inlineStr">
        <is>
          <t>Xeyr</t>
        </is>
      </c>
      <c r="L12" s="6" t="inlineStr">
        <is>
          <t>Yoxdur</t>
        </is>
      </c>
      <c r="M12" s="6" t="n">
        <v>3</v>
      </c>
      <c r="N12" s="6" t="inlineStr">
        <is>
          <t>13.01.2025</t>
        </is>
      </c>
      <c r="P12" s="9" t="inlineStr">
        <is>
          <t>Outlier:</t>
        </is>
      </c>
      <c r="Q12" s="11" t="n">
        <v>3</v>
      </c>
    </row>
    <row r="13" ht="17" customHeight="1">
      <c r="A13" s="4" t="inlineStr">
        <is>
          <t>PT-1010</t>
        </is>
      </c>
      <c r="B13" s="4" t="inlineStr">
        <is>
          <t>04/08/2024</t>
        </is>
      </c>
      <c r="C13" s="4" t="inlineStr">
        <is>
          <t>Nərmin B.</t>
        </is>
      </c>
      <c r="D13" s="4" t="n">
        <v>26</v>
      </c>
      <c r="E13" s="4" t="inlineStr">
        <is>
          <t>Qadın</t>
        </is>
      </c>
      <c r="F13" s="4" t="inlineStr">
        <is>
          <t>Lənkəran</t>
        </is>
      </c>
      <c r="G13" s="4" t="inlineStr">
        <is>
          <t>Tip 2 Diabet</t>
        </is>
      </c>
      <c r="H13" s="4" t="n">
        <v>9.199999999999999</v>
      </c>
      <c r="I13" s="4" t="n">
        <v>90.09999999999999</v>
      </c>
      <c r="J13" s="4" t="n">
        <v>171</v>
      </c>
      <c r="K13" s="4" t="inlineStr">
        <is>
          <t>b</t>
        </is>
      </c>
      <c r="L13" s="4" t="inlineStr">
        <is>
          <t>n/a</t>
        </is>
      </c>
      <c r="M13" s="4" t="n">
        <v>1</v>
      </c>
      <c r="N13" s="4" t="inlineStr">
        <is>
          <t>25.01.2025</t>
        </is>
      </c>
      <c r="P13" s="9" t="inlineStr">
        <is>
          <t>Dublikat:</t>
        </is>
      </c>
      <c r="Q13" s="11" t="n">
        <v>1</v>
      </c>
    </row>
    <row r="14" ht="17" customHeight="1">
      <c r="A14" s="6" t="inlineStr">
        <is>
          <t>PT-1011</t>
        </is>
      </c>
      <c r="B14" s="6" t="inlineStr">
        <is>
          <t>28/02/2024</t>
        </is>
      </c>
      <c r="C14" s="6" t="inlineStr">
        <is>
          <t>Tural A.</t>
        </is>
      </c>
      <c r="D14" s="6" t="n">
        <v>70</v>
      </c>
      <c r="E14" s="6" t="inlineStr">
        <is>
          <t>Qadın</t>
        </is>
      </c>
      <c r="F14" s="6" t="inlineStr">
        <is>
          <t>Gəncə</t>
        </is>
      </c>
      <c r="G14" s="6" t="inlineStr">
        <is>
          <t>Tip 2 Diabet</t>
        </is>
      </c>
      <c r="H14" s="8" t="inlineStr">
        <is>
          <t>N/A</t>
        </is>
      </c>
      <c r="I14" s="6" t="n">
        <v>87.59999999999999</v>
      </c>
      <c r="J14" s="6" t="n">
        <v>184</v>
      </c>
      <c r="K14" s="6" t="inlineStr">
        <is>
          <t>Bəli</t>
        </is>
      </c>
      <c r="L14" s="6" t="inlineStr">
        <is>
          <t>Yoxdur</t>
        </is>
      </c>
      <c r="M14" s="6" t="n">
        <v>12</v>
      </c>
      <c r="N14" s="6" t="inlineStr">
        <is>
          <t>05.05.2024</t>
        </is>
      </c>
      <c r="P14" s="9" t="inlineStr">
        <is>
          <t>Tutarsız format:</t>
        </is>
      </c>
      <c r="Q14" s="11" t="n">
        <v>5</v>
      </c>
    </row>
    <row r="15" ht="17" customHeight="1">
      <c r="A15" s="4" t="inlineStr">
        <is>
          <t>PT-1012</t>
        </is>
      </c>
      <c r="B15" s="4" t="inlineStr">
        <is>
          <t>13/09/2024</t>
        </is>
      </c>
      <c r="C15" s="4" t="inlineStr">
        <is>
          <t>Rauf S.</t>
        </is>
      </c>
      <c r="D15" s="4" t="n">
        <v>54</v>
      </c>
      <c r="E15" s="4" t="inlineStr">
        <is>
          <t>Kişi</t>
        </is>
      </c>
      <c r="F15" s="4" t="inlineStr">
        <is>
          <t>Gəncə</t>
        </is>
      </c>
      <c r="G15" s="4" t="inlineStr">
        <is>
          <t>Tip 2 Diabet</t>
        </is>
      </c>
      <c r="H15" s="4" t="n">
        <v>10.6</v>
      </c>
      <c r="I15" s="4" t="n">
        <v>93.09999999999999</v>
      </c>
      <c r="J15" s="4" t="n">
        <v>167</v>
      </c>
      <c r="K15" s="4" t="inlineStr">
        <is>
          <t>Xeyr</t>
        </is>
      </c>
      <c r="L15" s="4" t="inlineStr">
        <is>
          <t>Dərman dəyişdirildi</t>
        </is>
      </c>
      <c r="M15" s="4" t="n">
        <v>3</v>
      </c>
      <c r="N15" s="4" t="inlineStr">
        <is>
          <t>29.01.2025</t>
        </is>
      </c>
    </row>
    <row r="16" ht="17" customHeight="1">
      <c r="A16" s="6" t="inlineStr">
        <is>
          <t>PT-1013</t>
        </is>
      </c>
      <c r="B16" s="6" t="inlineStr">
        <is>
          <t>28/09/2024</t>
        </is>
      </c>
      <c r="C16" s="6" t="inlineStr">
        <is>
          <t>Əli M.</t>
        </is>
      </c>
      <c r="D16" s="6" t="n">
        <v>60</v>
      </c>
      <c r="E16" s="6" t="inlineStr">
        <is>
          <t>Qadın</t>
        </is>
      </c>
      <c r="F16" s="6" t="inlineStr">
        <is>
          <t>Lənkəran</t>
        </is>
      </c>
      <c r="G16" s="6" t="inlineStr">
        <is>
          <t>Tip 2 Diabet</t>
        </is>
      </c>
      <c r="H16" s="6" t="n">
        <v>5.9</v>
      </c>
      <c r="I16" s="6" t="n">
        <v>124.7</v>
      </c>
      <c r="J16" s="6" t="n">
        <v>174</v>
      </c>
      <c r="K16" s="6" t="inlineStr">
        <is>
          <t>Xeyr</t>
        </is>
      </c>
      <c r="L16" s="6" t="inlineStr">
        <is>
          <t>—</t>
        </is>
      </c>
      <c r="M16" s="6" t="n">
        <v>4</v>
      </c>
      <c r="N16" s="6" t="inlineStr">
        <is>
          <t>20.02.2025</t>
        </is>
      </c>
    </row>
    <row r="17" ht="17" customHeight="1">
      <c r="A17" s="4" t="inlineStr">
        <is>
          <t>PT-1014</t>
        </is>
      </c>
      <c r="B17" s="4" t="inlineStr">
        <is>
          <t>10/02/2024</t>
        </is>
      </c>
      <c r="C17" s="4" t="inlineStr">
        <is>
          <t>Leyla H.</t>
        </is>
      </c>
      <c r="D17" s="4" t="n">
        <v>68</v>
      </c>
      <c r="E17" s="4" t="inlineStr">
        <is>
          <t>Qadın</t>
        </is>
      </c>
      <c r="F17" s="4" t="inlineStr">
        <is>
          <t>Bakı</t>
        </is>
      </c>
      <c r="G17" s="4" t="inlineStr">
        <is>
          <t>Tip 2 Diabet</t>
        </is>
      </c>
      <c r="H17" s="4" t="n">
        <v>11.4</v>
      </c>
      <c r="I17" s="4" t="n">
        <v>95</v>
      </c>
      <c r="J17" s="4" t="n">
        <v>163</v>
      </c>
      <c r="K17" s="4" t="inlineStr">
        <is>
          <t>Xeyr</t>
        </is>
      </c>
      <c r="L17" s="4" t="inlineStr">
        <is>
          <t>Yoxdur</t>
        </is>
      </c>
      <c r="M17" s="4" t="n">
        <v>8</v>
      </c>
      <c r="N17" s="4" t="inlineStr">
        <is>
          <t>29.06.2024</t>
        </is>
      </c>
    </row>
    <row r="18" ht="17" customHeight="1">
      <c r="A18" s="6" t="inlineStr">
        <is>
          <t>PT-1015</t>
        </is>
      </c>
      <c r="B18" s="6" t="inlineStr">
        <is>
          <t>25/03/2024</t>
        </is>
      </c>
      <c r="C18" s="6" t="inlineStr">
        <is>
          <t>Elvin K.</t>
        </is>
      </c>
      <c r="D18" s="6" t="n">
        <v>55</v>
      </c>
      <c r="E18" s="6" t="inlineStr">
        <is>
          <t>Qadın</t>
        </is>
      </c>
      <c r="F18" s="6" t="inlineStr">
        <is>
          <t>Sumqayıt</t>
        </is>
      </c>
      <c r="G18" s="6" t="inlineStr">
        <is>
          <t>Tip 2 Diabet</t>
        </is>
      </c>
      <c r="H18" s="6" t="n">
        <v>11.1</v>
      </c>
      <c r="I18" s="6" t="n">
        <v>111.6</v>
      </c>
      <c r="J18" s="6" t="n">
        <v>167</v>
      </c>
      <c r="K18" s="6" t="inlineStr">
        <is>
          <t>x</t>
        </is>
      </c>
      <c r="L18" s="6" t="inlineStr">
        <is>
          <t>Dərman dəyişdirildi</t>
        </is>
      </c>
      <c r="M18" s="6" t="n">
        <v>7</v>
      </c>
      <c r="N18" s="6" t="inlineStr">
        <is>
          <t>12.09.2024</t>
        </is>
      </c>
    </row>
    <row r="19" ht="17" customHeight="1">
      <c r="A19" s="7" t="inlineStr">
        <is>
          <t>PT-1015</t>
        </is>
      </c>
      <c r="B19" s="7" t="inlineStr">
        <is>
          <t>28/11/2024</t>
        </is>
      </c>
      <c r="C19" s="7" t="inlineStr">
        <is>
          <t>Aytən N.</t>
        </is>
      </c>
      <c r="D19" s="7" t="n">
        <v>50</v>
      </c>
      <c r="E19" s="7" t="inlineStr">
        <is>
          <t>Qadın</t>
        </is>
      </c>
      <c r="F19" s="7" t="inlineStr">
        <is>
          <t>Bakı</t>
        </is>
      </c>
      <c r="G19" s="7" t="inlineStr">
        <is>
          <t>Tip 2 Diabet</t>
        </is>
      </c>
      <c r="H19" s="7" t="n">
        <v>7.2</v>
      </c>
      <c r="I19" s="7" t="n">
        <v>59.8</v>
      </c>
      <c r="J19" s="7" t="n">
        <v>156</v>
      </c>
      <c r="K19" s="7" t="inlineStr">
        <is>
          <t>b</t>
        </is>
      </c>
      <c r="L19" s="7" t="inlineStr">
        <is>
          <t>NULL</t>
        </is>
      </c>
      <c r="M19" s="7" t="n">
        <v>4</v>
      </c>
      <c r="N19" s="7" t="inlineStr">
        <is>
          <t>27.04.2025</t>
        </is>
      </c>
    </row>
    <row r="20" ht="17" customHeight="1">
      <c r="A20" s="6" t="inlineStr">
        <is>
          <t>PT-1017</t>
        </is>
      </c>
      <c r="B20" s="6" t="inlineStr">
        <is>
          <t>22/04/2024</t>
        </is>
      </c>
      <c r="C20" s="6" t="inlineStr">
        <is>
          <t>Əli M.</t>
        </is>
      </c>
      <c r="D20" s="6" t="n">
        <v>26</v>
      </c>
      <c r="E20" s="6" t="inlineStr">
        <is>
          <t>Kişi</t>
        </is>
      </c>
      <c r="F20" s="6" t="inlineStr">
        <is>
          <t>Sumqayıt</t>
        </is>
      </c>
      <c r="G20" s="6" t="inlineStr">
        <is>
          <t>Tip 2 Diabet</t>
        </is>
      </c>
      <c r="H20" s="6" t="n">
        <v>6.2</v>
      </c>
      <c r="I20" s="6" t="n">
        <v>57.4</v>
      </c>
      <c r="J20" s="6" t="n">
        <v>176</v>
      </c>
      <c r="K20" s="6" t="inlineStr">
        <is>
          <t>Bəli</t>
        </is>
      </c>
      <c r="L20" s="6" t="inlineStr">
        <is>
          <t>NULL</t>
        </is>
      </c>
      <c r="M20" s="6" t="n">
        <v>4</v>
      </c>
      <c r="N20" s="6" t="inlineStr">
        <is>
          <t>02.07.2024</t>
        </is>
      </c>
    </row>
    <row r="21" ht="17" customHeight="1">
      <c r="A21" s="4" t="inlineStr">
        <is>
          <t>PT-1018</t>
        </is>
      </c>
      <c r="B21" s="4" t="inlineStr">
        <is>
          <t>08/12/2024</t>
        </is>
      </c>
      <c r="C21" s="4" t="inlineStr">
        <is>
          <t>Sevinc R.</t>
        </is>
      </c>
      <c r="D21" s="8" t="n">
        <v>35</v>
      </c>
      <c r="E21" s="4" t="inlineStr">
        <is>
          <t>Kişi</t>
        </is>
      </c>
      <c r="F21" s="4" t="inlineStr">
        <is>
          <t>Şirvan</t>
        </is>
      </c>
      <c r="G21" s="4" t="inlineStr">
        <is>
          <t>Tip 2 Diabet</t>
        </is>
      </c>
      <c r="H21" s="8" t="n">
        <v>78.5</v>
      </c>
      <c r="I21" s="4" t="n">
        <v>73.2</v>
      </c>
      <c r="J21" s="8" t="n">
        <v>185</v>
      </c>
      <c r="K21" s="8" t="inlineStr">
        <is>
          <t>N/A</t>
        </is>
      </c>
      <c r="L21" s="8" t="inlineStr">
        <is>
          <t>N/A</t>
        </is>
      </c>
      <c r="M21" s="4" t="n">
        <v>4</v>
      </c>
      <c r="N21" s="4" t="inlineStr">
        <is>
          <t>01.01.2025</t>
        </is>
      </c>
    </row>
    <row r="22" ht="17" customHeight="1">
      <c r="A22" s="6" t="inlineStr">
        <is>
          <t>PT-1019</t>
        </is>
      </c>
      <c r="B22" s="6" t="inlineStr">
        <is>
          <t>19/02/2024</t>
        </is>
      </c>
      <c r="C22" s="6" t="inlineStr">
        <is>
          <t>Orxan F.</t>
        </is>
      </c>
      <c r="D22" s="6" t="n">
        <v>44</v>
      </c>
      <c r="E22" s="6" t="inlineStr">
        <is>
          <t>Qadın</t>
        </is>
      </c>
      <c r="F22" s="6" t="inlineStr">
        <is>
          <t>Lənkəran</t>
        </is>
      </c>
      <c r="G22" s="6" t="inlineStr">
        <is>
          <t>Tip 2 Diabet</t>
        </is>
      </c>
      <c r="H22" s="6" t="n">
        <v>8.5</v>
      </c>
      <c r="I22" s="6" t="n">
        <v>109.7</v>
      </c>
      <c r="J22" s="6" t="n">
        <v>161</v>
      </c>
      <c r="K22" s="6" t="inlineStr">
        <is>
          <t>Bəli</t>
        </is>
      </c>
      <c r="L22" s="8" t="inlineStr">
        <is>
          <t>N/A</t>
        </is>
      </c>
      <c r="M22" s="6" t="n">
        <v>12</v>
      </c>
      <c r="N22" s="6" t="inlineStr">
        <is>
          <t>15.05.2024</t>
        </is>
      </c>
    </row>
    <row r="23" ht="17" customHeight="1">
      <c r="A23" s="4" t="inlineStr">
        <is>
          <t>PT-1020</t>
        </is>
      </c>
      <c r="B23" s="4" t="inlineStr">
        <is>
          <t>25/02/2024</t>
        </is>
      </c>
      <c r="C23" s="4" t="inlineStr">
        <is>
          <t>Günel T.</t>
        </is>
      </c>
      <c r="D23" s="4" t="n">
        <v>34</v>
      </c>
      <c r="E23" s="4" t="inlineStr">
        <is>
          <t>Kişi</t>
        </is>
      </c>
      <c r="F23" s="4" t="inlineStr">
        <is>
          <t>Şirvan</t>
        </is>
      </c>
      <c r="G23" s="4" t="inlineStr">
        <is>
          <t>Tip 2 Diabet</t>
        </is>
      </c>
      <c r="H23" s="4" t="n">
        <v>8.4</v>
      </c>
      <c r="I23" s="4" t="n">
        <v>86.59999999999999</v>
      </c>
      <c r="J23" s="4" t="n">
        <v>172</v>
      </c>
      <c r="K23" s="4" t="inlineStr">
        <is>
          <t>XEYR</t>
        </is>
      </c>
      <c r="L23" s="4" t="inlineStr">
        <is>
          <t>Gecikmiş müraciət</t>
        </is>
      </c>
      <c r="M23" s="4" t="n">
        <v>2</v>
      </c>
      <c r="N23" s="4" t="inlineStr">
        <is>
          <t>17.06.2024</t>
        </is>
      </c>
    </row>
    <row r="24" ht="17" customHeight="1">
      <c r="A24" s="6" t="inlineStr">
        <is>
          <t>PT-1021</t>
        </is>
      </c>
      <c r="B24" s="6" t="inlineStr">
        <is>
          <t>08/10/2024</t>
        </is>
      </c>
      <c r="C24" s="6" t="inlineStr">
        <is>
          <t>Leyla H.</t>
        </is>
      </c>
      <c r="D24" s="6" t="n">
        <v>25</v>
      </c>
      <c r="E24" s="6" t="inlineStr">
        <is>
          <t>Kişi</t>
        </is>
      </c>
      <c r="F24" s="6" t="inlineStr">
        <is>
          <t>Bakı</t>
        </is>
      </c>
      <c r="G24" s="6" t="inlineStr">
        <is>
          <t>Tip 2 Diabet</t>
        </is>
      </c>
      <c r="H24" s="6" t="n">
        <v>11.1</v>
      </c>
      <c r="I24" s="6" t="n">
        <v>118.7</v>
      </c>
      <c r="J24" s="6" t="n">
        <v>165</v>
      </c>
      <c r="K24" s="6" t="inlineStr">
        <is>
          <t>XEYR</t>
        </is>
      </c>
      <c r="L24" s="8" t="inlineStr">
        <is>
          <t>N/A</t>
        </is>
      </c>
      <c r="M24" s="6" t="n">
        <v>8</v>
      </c>
      <c r="N24" s="6" t="inlineStr">
        <is>
          <t>01.12.2024</t>
        </is>
      </c>
    </row>
    <row r="25" ht="17" customHeight="1">
      <c r="A25" s="4" t="inlineStr">
        <is>
          <t>PT-1022</t>
        </is>
      </c>
      <c r="B25" s="4" t="inlineStr">
        <is>
          <t>24/07/2024</t>
        </is>
      </c>
      <c r="C25" s="4" t="inlineStr">
        <is>
          <t>Əli M.</t>
        </is>
      </c>
      <c r="D25" s="4" t="n">
        <v>32</v>
      </c>
      <c r="E25" s="4" t="inlineStr">
        <is>
          <t>Qadın</t>
        </is>
      </c>
      <c r="F25" s="4" t="inlineStr">
        <is>
          <t>Bakı</t>
        </is>
      </c>
      <c r="G25" s="4" t="inlineStr">
        <is>
          <t>Tip 2 Diabet</t>
        </is>
      </c>
      <c r="H25" s="4" t="n">
        <v>11.4</v>
      </c>
      <c r="I25" s="4" t="n">
        <v>74.90000000000001</v>
      </c>
      <c r="J25" s="4" t="n">
        <v>184</v>
      </c>
      <c r="K25" s="4" t="inlineStr">
        <is>
          <t>beli</t>
        </is>
      </c>
      <c r="L25" s="8" t="inlineStr">
        <is>
          <t>N/A</t>
        </is>
      </c>
      <c r="M25" s="4" t="n">
        <v>12</v>
      </c>
      <c r="N25" s="4" t="inlineStr">
        <is>
          <t>13.12.2024</t>
        </is>
      </c>
    </row>
    <row r="26" ht="17" customHeight="1">
      <c r="A26" s="6" t="inlineStr">
        <is>
          <t>PT-1023</t>
        </is>
      </c>
      <c r="B26" s="7" t="inlineStr">
        <is>
          <t>2024-03-15</t>
        </is>
      </c>
      <c r="C26" s="6" t="inlineStr">
        <is>
          <t>Sevinc R.</t>
        </is>
      </c>
      <c r="D26" s="6" t="n">
        <v>31</v>
      </c>
      <c r="E26" s="6" t="inlineStr">
        <is>
          <t>Kişi</t>
        </is>
      </c>
      <c r="F26" s="6" t="inlineStr">
        <is>
          <t>Gəncə</t>
        </is>
      </c>
      <c r="G26" s="6" t="inlineStr">
        <is>
          <t>Tip 2 Diabet</t>
        </is>
      </c>
      <c r="H26" s="6" t="n">
        <v>7</v>
      </c>
      <c r="I26" s="6" t="n">
        <v>59.4</v>
      </c>
      <c r="J26" s="6" t="n">
        <v>189</v>
      </c>
      <c r="K26" s="6" t="inlineStr">
        <is>
          <t>Bəli</t>
        </is>
      </c>
      <c r="L26" s="6" t="inlineStr">
        <is>
          <t>Yoxdur</t>
        </is>
      </c>
      <c r="M26" s="6" t="n">
        <v>6</v>
      </c>
      <c r="N26" s="6" t="inlineStr">
        <is>
          <t>18.12.2024</t>
        </is>
      </c>
    </row>
    <row r="27" ht="17" customHeight="1">
      <c r="A27" s="4" t="inlineStr">
        <is>
          <t>PT-1024</t>
        </is>
      </c>
      <c r="B27" s="4" t="inlineStr">
        <is>
          <t>26/01/2024</t>
        </is>
      </c>
      <c r="C27" s="4" t="inlineStr">
        <is>
          <t>Nərmin B.</t>
        </is>
      </c>
      <c r="D27" s="4" t="n">
        <v>52</v>
      </c>
      <c r="E27" s="4" t="inlineStr">
        <is>
          <t>Kişi</t>
        </is>
      </c>
      <c r="F27" s="4" t="inlineStr">
        <is>
          <t>Bakı</t>
        </is>
      </c>
      <c r="G27" s="4" t="inlineStr">
        <is>
          <t>Tip 2 Diabet</t>
        </is>
      </c>
      <c r="H27" s="4" t="n">
        <v>11.3</v>
      </c>
      <c r="I27" s="4" t="n">
        <v>61</v>
      </c>
      <c r="J27" s="4" t="n">
        <v>166</v>
      </c>
      <c r="K27" s="4" t="inlineStr">
        <is>
          <t>Bəli</t>
        </is>
      </c>
      <c r="L27" s="4" t="inlineStr">
        <is>
          <t>NULL</t>
        </is>
      </c>
      <c r="M27" s="4" t="n">
        <v>2</v>
      </c>
      <c r="N27" s="4" t="inlineStr">
        <is>
          <t>16.07.2024</t>
        </is>
      </c>
    </row>
    <row r="28" ht="17" customHeight="1">
      <c r="A28" s="6" t="inlineStr">
        <is>
          <t>PT-1025</t>
        </is>
      </c>
      <c r="B28" s="6" t="inlineStr">
        <is>
          <t>30/04/2024</t>
        </is>
      </c>
      <c r="C28" s="6" t="inlineStr">
        <is>
          <t>Orxan F.</t>
        </is>
      </c>
      <c r="D28" s="6" t="n">
        <v>29</v>
      </c>
      <c r="E28" s="6" t="inlineStr">
        <is>
          <t>Kişi</t>
        </is>
      </c>
      <c r="F28" s="6" t="inlineStr">
        <is>
          <t>Şirvan</t>
        </is>
      </c>
      <c r="G28" s="6" t="inlineStr">
        <is>
          <t>Tip 2 Diabet</t>
        </is>
      </c>
      <c r="H28" s="6" t="n">
        <v>9.199999999999999</v>
      </c>
      <c r="I28" s="6" t="n">
        <v>101.5</v>
      </c>
      <c r="J28" s="6" t="n">
        <v>181</v>
      </c>
      <c r="K28" s="6" t="inlineStr">
        <is>
          <t>x</t>
        </is>
      </c>
      <c r="L28" s="6" t="inlineStr">
        <is>
          <t>NULL</t>
        </is>
      </c>
      <c r="M28" s="6" t="n">
        <v>10</v>
      </c>
      <c r="N28" s="6" t="inlineStr">
        <is>
          <t>10.09.2024</t>
        </is>
      </c>
    </row>
    <row r="29" ht="17" customHeight="1">
      <c r="A29" s="4" t="inlineStr">
        <is>
          <t>PT-1026</t>
        </is>
      </c>
      <c r="B29" s="4" t="inlineStr">
        <is>
          <t>10/06/2024</t>
        </is>
      </c>
      <c r="C29" s="4" t="inlineStr">
        <is>
          <t>Elvin K.</t>
        </is>
      </c>
      <c r="D29" s="4" t="n">
        <v>35</v>
      </c>
      <c r="E29" s="4" t="inlineStr">
        <is>
          <t>Qadın</t>
        </is>
      </c>
      <c r="F29" s="4" t="inlineStr">
        <is>
          <t>Sumqayıt</t>
        </is>
      </c>
      <c r="G29" s="4" t="inlineStr">
        <is>
          <t>Tip 2 Diabet</t>
        </is>
      </c>
      <c r="H29" s="4" t="n">
        <v>7.3</v>
      </c>
      <c r="I29" s="4" t="n">
        <v>64.8</v>
      </c>
      <c r="J29" s="4" t="n">
        <v>174</v>
      </c>
      <c r="K29" s="4" t="inlineStr">
        <is>
          <t>XEYR</t>
        </is>
      </c>
      <c r="L29" s="4" t="inlineStr">
        <is>
          <t>Dərman dəyişdirildi</t>
        </is>
      </c>
      <c r="M29" s="4" t="n">
        <v>2</v>
      </c>
      <c r="N29" s="4" t="inlineStr">
        <is>
          <t>12.06.2024</t>
        </is>
      </c>
    </row>
    <row r="30" ht="17" customHeight="1">
      <c r="A30" s="6" t="inlineStr">
        <is>
          <t>PT-1027</t>
        </is>
      </c>
      <c r="B30" s="6" t="inlineStr">
        <is>
          <t>22/08/2024</t>
        </is>
      </c>
      <c r="C30" s="6" t="inlineStr">
        <is>
          <t>Nərmin B.</t>
        </is>
      </c>
      <c r="D30" s="6" t="n">
        <v>58</v>
      </c>
      <c r="E30" s="6" t="inlineStr">
        <is>
          <t>Kişi</t>
        </is>
      </c>
      <c r="F30" s="6" t="inlineStr">
        <is>
          <t>Bakı</t>
        </is>
      </c>
      <c r="G30" s="6" t="inlineStr">
        <is>
          <t>Tip 2 Diabet</t>
        </is>
      </c>
      <c r="H30" s="6" t="n">
        <v>8.9</v>
      </c>
      <c r="I30" s="6" t="n">
        <v>92.90000000000001</v>
      </c>
      <c r="J30" s="6" t="n">
        <v>163</v>
      </c>
      <c r="K30" s="6" t="inlineStr">
        <is>
          <t>beli</t>
        </is>
      </c>
      <c r="L30" s="6" t="inlineStr">
        <is>
          <t>—</t>
        </is>
      </c>
      <c r="M30" s="6" t="n">
        <v>4</v>
      </c>
      <c r="N30" s="6" t="inlineStr">
        <is>
          <t>24.11.2024</t>
        </is>
      </c>
    </row>
    <row r="31" ht="17" customHeight="1">
      <c r="A31" s="4" t="inlineStr">
        <is>
          <t>PT-1028</t>
        </is>
      </c>
      <c r="B31" s="4" t="inlineStr">
        <is>
          <t>25/05/2024</t>
        </is>
      </c>
      <c r="C31" s="4" t="inlineStr">
        <is>
          <t>Rauf S.</t>
        </is>
      </c>
      <c r="D31" s="4" t="n">
        <v>50</v>
      </c>
      <c r="E31" s="4" t="inlineStr">
        <is>
          <t>Qadın</t>
        </is>
      </c>
      <c r="F31" s="4" t="inlineStr">
        <is>
          <t>Şirvan</t>
        </is>
      </c>
      <c r="G31" s="4" t="inlineStr">
        <is>
          <t>Tip 2 Diabet</t>
        </is>
      </c>
      <c r="H31" s="4" t="n">
        <v>11.4</v>
      </c>
      <c r="I31" s="4" t="n">
        <v>115.5</v>
      </c>
      <c r="J31" s="4" t="n">
        <v>188</v>
      </c>
      <c r="K31" s="4" t="inlineStr">
        <is>
          <t>Bəli</t>
        </is>
      </c>
      <c r="L31" s="4" t="inlineStr">
        <is>
          <t>Yoxdur</t>
        </is>
      </c>
      <c r="M31" s="4" t="n">
        <v>9</v>
      </c>
      <c r="N31" s="4" t="inlineStr">
        <is>
          <t>09.08.2024</t>
        </is>
      </c>
    </row>
    <row r="32" ht="17" customHeight="1">
      <c r="A32" s="6" t="inlineStr">
        <is>
          <t>PT-1029</t>
        </is>
      </c>
      <c r="B32" s="6" t="inlineStr">
        <is>
          <t>05/12/2024</t>
        </is>
      </c>
      <c r="C32" s="6" t="inlineStr">
        <is>
          <t>Leyla H.</t>
        </is>
      </c>
      <c r="D32" s="8" t="n">
        <v>-5</v>
      </c>
      <c r="E32" s="6" t="inlineStr">
        <is>
          <t>Kişi</t>
        </is>
      </c>
      <c r="F32" s="6" t="inlineStr">
        <is>
          <t>Gəncə</t>
        </is>
      </c>
      <c r="G32" s="6" t="inlineStr">
        <is>
          <t>Tip 2 Diabet</t>
        </is>
      </c>
      <c r="H32" s="8" t="n">
        <v>6.5</v>
      </c>
      <c r="I32" s="6" t="n">
        <v>63</v>
      </c>
      <c r="J32" s="8" t="n">
        <v>190</v>
      </c>
      <c r="K32" s="6" t="inlineStr">
        <is>
          <t>Xeyr</t>
        </is>
      </c>
      <c r="L32" s="6" t="inlineStr">
        <is>
          <t>Dərman dəyişdirildi</t>
        </is>
      </c>
      <c r="M32" s="6" t="n">
        <v>5</v>
      </c>
      <c r="N32" s="6" t="inlineStr">
        <is>
          <t>08.05.2025</t>
        </is>
      </c>
    </row>
    <row r="33" ht="17" customHeight="1">
      <c r="A33" s="4" t="inlineStr">
        <is>
          <t>PT-1030</t>
        </is>
      </c>
      <c r="B33" s="4" t="inlineStr">
        <is>
          <t>17/04/2024</t>
        </is>
      </c>
      <c r="C33" s="4" t="inlineStr">
        <is>
          <t>Aytən N.</t>
        </is>
      </c>
      <c r="D33" s="4" t="n">
        <v>35</v>
      </c>
      <c r="E33" s="4" t="inlineStr">
        <is>
          <t>Qadın</t>
        </is>
      </c>
      <c r="F33" s="4" t="inlineStr">
        <is>
          <t>Şirvan</t>
        </is>
      </c>
      <c r="G33" s="4" t="inlineStr">
        <is>
          <t>Tip 2 Diabet</t>
        </is>
      </c>
      <c r="H33" s="4" t="n">
        <v>8.6</v>
      </c>
      <c r="I33" s="4" t="n">
        <v>122.9</v>
      </c>
      <c r="J33" s="4" t="n">
        <v>158</v>
      </c>
      <c r="K33" s="4" t="inlineStr">
        <is>
          <t>Bəli</t>
        </is>
      </c>
      <c r="L33" s="4" t="inlineStr">
        <is>
          <t>Yoxdur</t>
        </is>
      </c>
      <c r="M33" s="4" t="n">
        <v>7</v>
      </c>
      <c r="N33" s="4" t="inlineStr">
        <is>
          <t>26.06.2024</t>
        </is>
      </c>
    </row>
    <row r="34" ht="17" customHeight="1">
      <c r="A34" s="6" t="inlineStr">
        <is>
          <t>PT-1031</t>
        </is>
      </c>
      <c r="B34" s="6" t="inlineStr">
        <is>
          <t>23/01/2024</t>
        </is>
      </c>
      <c r="C34" s="6" t="inlineStr">
        <is>
          <t>Əli M.</t>
        </is>
      </c>
      <c r="D34" s="6" t="n">
        <v>43</v>
      </c>
      <c r="E34" s="6" t="inlineStr">
        <is>
          <t>Kişi</t>
        </is>
      </c>
      <c r="F34" s="6" t="inlineStr">
        <is>
          <t>Gəncə</t>
        </is>
      </c>
      <c r="G34" s="6" t="inlineStr">
        <is>
          <t>Tip 2 Diabet</t>
        </is>
      </c>
      <c r="H34" s="6" t="n">
        <v>6.7</v>
      </c>
      <c r="I34" s="6" t="n">
        <v>88.09999999999999</v>
      </c>
      <c r="J34" s="6" t="n">
        <v>182</v>
      </c>
      <c r="K34" s="6" t="inlineStr">
        <is>
          <t>b</t>
        </is>
      </c>
      <c r="L34" s="6" t="inlineStr">
        <is>
          <t>—</t>
        </is>
      </c>
      <c r="M34" s="6" t="n">
        <v>2</v>
      </c>
      <c r="N34" s="6" t="inlineStr">
        <is>
          <t>11.02.2024</t>
        </is>
      </c>
    </row>
    <row r="35" ht="17" customHeight="1">
      <c r="A35" s="4" t="inlineStr">
        <is>
          <t>PT-1032</t>
        </is>
      </c>
      <c r="B35" s="4" t="inlineStr">
        <is>
          <t>19/12/2024</t>
        </is>
      </c>
      <c r="C35" s="4" t="inlineStr">
        <is>
          <t>Rauf S.</t>
        </is>
      </c>
      <c r="D35" s="4" t="n">
        <v>56</v>
      </c>
      <c r="E35" s="4" t="inlineStr">
        <is>
          <t>Kişi</t>
        </is>
      </c>
      <c r="F35" s="4" t="inlineStr">
        <is>
          <t>Gəncə</t>
        </is>
      </c>
      <c r="G35" s="4" t="inlineStr">
        <is>
          <t>Tip 2 Diabet</t>
        </is>
      </c>
      <c r="H35" s="4" t="n">
        <v>9.1</v>
      </c>
      <c r="I35" s="4" t="n">
        <v>66.09999999999999</v>
      </c>
      <c r="J35" s="4" t="n">
        <v>163</v>
      </c>
      <c r="K35" s="4" t="inlineStr">
        <is>
          <t>Bəli</t>
        </is>
      </c>
      <c r="L35" s="4" t="inlineStr">
        <is>
          <t>Dərman dəyişdirildi</t>
        </is>
      </c>
      <c r="M35" s="4" t="n">
        <v>6</v>
      </c>
      <c r="N35" s="4" t="inlineStr">
        <is>
          <t>29.12.2024</t>
        </is>
      </c>
    </row>
    <row r="36" ht="17" customHeight="1">
      <c r="A36" s="6" t="inlineStr">
        <is>
          <t>PT-1033</t>
        </is>
      </c>
      <c r="B36" s="6" t="inlineStr">
        <is>
          <t>02/07/2024</t>
        </is>
      </c>
      <c r="C36" s="6" t="inlineStr">
        <is>
          <t>Günel T.</t>
        </is>
      </c>
      <c r="D36" s="6" t="n">
        <v>65</v>
      </c>
      <c r="E36" s="6" t="inlineStr">
        <is>
          <t>Kişi</t>
        </is>
      </c>
      <c r="F36" s="6" t="inlineStr">
        <is>
          <t>Bakı</t>
        </is>
      </c>
      <c r="G36" s="6" t="inlineStr">
        <is>
          <t>Tip 2 Diabet</t>
        </is>
      </c>
      <c r="H36" s="6" t="n">
        <v>7.8</v>
      </c>
      <c r="I36" s="6" t="n">
        <v>97</v>
      </c>
      <c r="J36" s="6" t="n">
        <v>181</v>
      </c>
      <c r="K36" s="6" t="inlineStr">
        <is>
          <t>b</t>
        </is>
      </c>
      <c r="L36" s="6" t="inlineStr">
        <is>
          <t>Yoxdur</t>
        </is>
      </c>
      <c r="M36" s="6" t="n">
        <v>3</v>
      </c>
      <c r="N36" s="6" t="inlineStr">
        <is>
          <t>31.08.2024</t>
        </is>
      </c>
    </row>
    <row r="37" ht="17" customHeight="1">
      <c r="A37" s="4" t="inlineStr">
        <is>
          <t>PT-1034</t>
        </is>
      </c>
      <c r="B37" s="4" t="inlineStr">
        <is>
          <t>24/03/2024</t>
        </is>
      </c>
      <c r="C37" s="4" t="inlineStr">
        <is>
          <t>Rauf S.</t>
        </is>
      </c>
      <c r="D37" s="4" t="n">
        <v>78</v>
      </c>
      <c r="E37" s="4" t="inlineStr">
        <is>
          <t>Qadın</t>
        </is>
      </c>
      <c r="F37" s="4" t="inlineStr">
        <is>
          <t>Bakı</t>
        </is>
      </c>
      <c r="G37" s="4" t="inlineStr">
        <is>
          <t>Tip 2 Diabet</t>
        </is>
      </c>
      <c r="H37" s="4" t="n">
        <v>6.8</v>
      </c>
      <c r="I37" s="8" t="inlineStr">
        <is>
          <t>N/A</t>
        </is>
      </c>
      <c r="J37" s="4" t="n">
        <v>181</v>
      </c>
      <c r="K37" s="8" t="inlineStr">
        <is>
          <t>N/A</t>
        </is>
      </c>
      <c r="L37" s="4" t="inlineStr">
        <is>
          <t>Yoxdur</t>
        </is>
      </c>
      <c r="M37" s="4" t="n">
        <v>12</v>
      </c>
      <c r="N37" s="4" t="inlineStr">
        <is>
          <t>26.05.2024</t>
        </is>
      </c>
    </row>
    <row r="38" ht="17" customHeight="1">
      <c r="A38" s="6" t="inlineStr">
        <is>
          <t>PT-1035</t>
        </is>
      </c>
      <c r="B38" s="6" t="inlineStr">
        <is>
          <t>16/05/2024</t>
        </is>
      </c>
      <c r="C38" s="6" t="inlineStr">
        <is>
          <t>Rauf S.</t>
        </is>
      </c>
      <c r="D38" s="6" t="n">
        <v>72</v>
      </c>
      <c r="E38" s="6" t="inlineStr">
        <is>
          <t>Kişi</t>
        </is>
      </c>
      <c r="F38" s="6" t="inlineStr">
        <is>
          <t>Lənkəran</t>
        </is>
      </c>
      <c r="G38" s="6" t="inlineStr">
        <is>
          <t>Tip 2 Diabet</t>
        </is>
      </c>
      <c r="H38" s="6" t="n">
        <v>10.8</v>
      </c>
      <c r="I38" s="6" t="n">
        <v>119.4</v>
      </c>
      <c r="J38" s="6" t="n">
        <v>169</v>
      </c>
      <c r="K38" s="6" t="inlineStr">
        <is>
          <t>Xeyr</t>
        </is>
      </c>
      <c r="L38" s="6" t="inlineStr">
        <is>
          <t>n/a</t>
        </is>
      </c>
      <c r="M38" s="6" t="n">
        <v>8</v>
      </c>
      <c r="N38" s="6" t="inlineStr">
        <is>
          <t>13.08.2024</t>
        </is>
      </c>
    </row>
    <row r="39" ht="17" customHeight="1">
      <c r="A39" s="4" t="inlineStr">
        <is>
          <t>PT-1036</t>
        </is>
      </c>
      <c r="B39" s="4" t="inlineStr">
        <is>
          <t>05/06/2024</t>
        </is>
      </c>
      <c r="C39" s="4" t="inlineStr">
        <is>
          <t>Günel T.</t>
        </is>
      </c>
      <c r="D39" s="4" t="n">
        <v>36</v>
      </c>
      <c r="E39" s="4" t="inlineStr">
        <is>
          <t>Kişi</t>
        </is>
      </c>
      <c r="F39" s="4" t="inlineStr">
        <is>
          <t>Sumqayıt</t>
        </is>
      </c>
      <c r="G39" s="4" t="inlineStr">
        <is>
          <t>Tip 2 Diabet</t>
        </is>
      </c>
      <c r="H39" s="4" t="n">
        <v>8.1</v>
      </c>
      <c r="I39" s="4" t="n">
        <v>75.90000000000001</v>
      </c>
      <c r="J39" s="4" t="n">
        <v>159</v>
      </c>
      <c r="K39" s="8" t="inlineStr">
        <is>
          <t>N/A</t>
        </is>
      </c>
      <c r="L39" s="4" t="inlineStr">
        <is>
          <t>Dərman dəyişdirildi</t>
        </is>
      </c>
      <c r="M39" s="4" t="n">
        <v>6</v>
      </c>
      <c r="N39" s="4" t="inlineStr">
        <is>
          <t>16.11.2024</t>
        </is>
      </c>
    </row>
    <row r="40" ht="17" customHeight="1">
      <c r="A40" s="6" t="inlineStr">
        <is>
          <t>PT-1037</t>
        </is>
      </c>
      <c r="B40" s="6" t="inlineStr">
        <is>
          <t>17/09/2024</t>
        </is>
      </c>
      <c r="C40" s="6" t="inlineStr">
        <is>
          <t>Orxan F.</t>
        </is>
      </c>
      <c r="D40" s="6" t="n">
        <v>65</v>
      </c>
      <c r="E40" s="6" t="inlineStr">
        <is>
          <t>Qadın</t>
        </is>
      </c>
      <c r="F40" s="6" t="inlineStr">
        <is>
          <t>Bakı</t>
        </is>
      </c>
      <c r="G40" s="6" t="inlineStr">
        <is>
          <t>Tip 2 Diabet</t>
        </is>
      </c>
      <c r="H40" s="6" t="n">
        <v>6.5</v>
      </c>
      <c r="I40" s="6" t="n">
        <v>127.8</v>
      </c>
      <c r="J40" s="6" t="n">
        <v>166</v>
      </c>
      <c r="K40" s="6" t="inlineStr">
        <is>
          <t>b</t>
        </is>
      </c>
      <c r="L40" s="6" t="inlineStr">
        <is>
          <t>Dərman dəyişdirildi</t>
        </is>
      </c>
      <c r="M40" s="6" t="n">
        <v>1</v>
      </c>
      <c r="N40" s="6" t="inlineStr">
        <is>
          <t>14.10.2024</t>
        </is>
      </c>
    </row>
    <row r="41" ht="17" customHeight="1">
      <c r="A41" s="4" t="inlineStr">
        <is>
          <t>PT-1038</t>
        </is>
      </c>
      <c r="B41" s="4" t="inlineStr">
        <is>
          <t>01/11/2024</t>
        </is>
      </c>
      <c r="C41" s="4" t="inlineStr">
        <is>
          <t>Orxan F.</t>
        </is>
      </c>
      <c r="D41" s="4" t="n">
        <v>44</v>
      </c>
      <c r="E41" s="4" t="inlineStr">
        <is>
          <t>Qadın</t>
        </is>
      </c>
      <c r="F41" s="4" t="inlineStr">
        <is>
          <t>Lənkəran</t>
        </is>
      </c>
      <c r="G41" s="4" t="inlineStr">
        <is>
          <t>Tip 2 Diabet</t>
        </is>
      </c>
      <c r="H41" s="4" t="n">
        <v>9.300000000000001</v>
      </c>
      <c r="I41" s="4" t="n">
        <v>93.40000000000001</v>
      </c>
      <c r="J41" s="4" t="n">
        <v>179</v>
      </c>
      <c r="K41" s="4" t="inlineStr">
        <is>
          <t>b</t>
        </is>
      </c>
      <c r="L41" s="4" t="inlineStr">
        <is>
          <t>Gecikmiş müraciət</t>
        </is>
      </c>
      <c r="M41" s="4" t="n">
        <v>5</v>
      </c>
      <c r="N41" s="4" t="inlineStr">
        <is>
          <t>12.11.2024</t>
        </is>
      </c>
    </row>
    <row r="42" ht="17" customHeight="1">
      <c r="A42" s="6" t="inlineStr">
        <is>
          <t>PT-1039</t>
        </is>
      </c>
      <c r="B42" s="6" t="inlineStr">
        <is>
          <t>28/12/2024</t>
        </is>
      </c>
      <c r="C42" s="6" t="inlineStr">
        <is>
          <t>Orxan F.</t>
        </is>
      </c>
      <c r="D42" s="6" t="n">
        <v>22</v>
      </c>
      <c r="E42" s="6" t="inlineStr">
        <is>
          <t>Kişi</t>
        </is>
      </c>
      <c r="F42" s="6" t="inlineStr">
        <is>
          <t>Gəncə</t>
        </is>
      </c>
      <c r="G42" s="6" t="inlineStr">
        <is>
          <t>Tip 2 Diabet</t>
        </is>
      </c>
      <c r="H42" s="6" t="n">
        <v>8.300000000000001</v>
      </c>
      <c r="I42" s="6" t="n">
        <v>126.2</v>
      </c>
      <c r="J42" s="6" t="n">
        <v>176</v>
      </c>
      <c r="K42" s="6" t="inlineStr">
        <is>
          <t>b</t>
        </is>
      </c>
      <c r="L42" s="6" t="inlineStr">
        <is>
          <t>Dərman dəyişdirildi</t>
        </is>
      </c>
      <c r="M42" s="6" t="n">
        <v>11</v>
      </c>
      <c r="N42" s="6" t="inlineStr">
        <is>
          <t>28.01.2025</t>
        </is>
      </c>
    </row>
    <row r="43" ht="17" customHeight="1">
      <c r="A43" s="4" t="inlineStr">
        <is>
          <t>PT-1040</t>
        </is>
      </c>
      <c r="B43" s="4" t="inlineStr">
        <is>
          <t>02/06/2024</t>
        </is>
      </c>
      <c r="C43" s="4" t="inlineStr">
        <is>
          <t>Tural A.</t>
        </is>
      </c>
      <c r="D43" s="4" t="n">
        <v>41</v>
      </c>
      <c r="E43" s="7" t="inlineStr">
        <is>
          <t>Qadın</t>
        </is>
      </c>
      <c r="F43" s="4" t="inlineStr">
        <is>
          <t>Gəncə</t>
        </is>
      </c>
      <c r="G43" s="7" t="inlineStr">
        <is>
          <t>tip2diabet</t>
        </is>
      </c>
      <c r="H43" s="4" t="n">
        <v>8.1</v>
      </c>
      <c r="I43" s="4" t="n">
        <v>77.2</v>
      </c>
      <c r="J43" s="4" t="n">
        <v>163</v>
      </c>
      <c r="K43" s="4" t="inlineStr">
        <is>
          <t>Xeyr</t>
        </is>
      </c>
      <c r="L43" s="8" t="inlineStr">
        <is>
          <t>N/A</t>
        </is>
      </c>
      <c r="M43" s="4" t="n">
        <v>11</v>
      </c>
      <c r="N43" s="4" t="inlineStr">
        <is>
          <t>07.09.2024</t>
        </is>
      </c>
    </row>
    <row r="44" ht="17" customHeight="1">
      <c r="A44" s="6" t="inlineStr">
        <is>
          <t>PT-1041</t>
        </is>
      </c>
      <c r="B44" s="6" t="inlineStr">
        <is>
          <t>12/12/2024</t>
        </is>
      </c>
      <c r="C44" s="6" t="inlineStr">
        <is>
          <t>Rauf S.</t>
        </is>
      </c>
      <c r="D44" s="6" t="n">
        <v>61</v>
      </c>
      <c r="E44" s="6" t="inlineStr">
        <is>
          <t>Qadın</t>
        </is>
      </c>
      <c r="F44" s="6" t="inlineStr">
        <is>
          <t>Lənkəran</t>
        </is>
      </c>
      <c r="G44" s="6" t="inlineStr">
        <is>
          <t>Tip 2 Diabet</t>
        </is>
      </c>
      <c r="H44" s="6" t="n">
        <v>8.9</v>
      </c>
      <c r="I44" s="6" t="n">
        <v>55</v>
      </c>
      <c r="J44" s="6" t="n">
        <v>173</v>
      </c>
      <c r="K44" s="6" t="inlineStr">
        <is>
          <t>Xeyr</t>
        </is>
      </c>
      <c r="L44" s="8" t="inlineStr">
        <is>
          <t>N/A</t>
        </is>
      </c>
      <c r="M44" s="6" t="n">
        <v>10</v>
      </c>
      <c r="N44" s="6" t="inlineStr">
        <is>
          <t>16.05.2025</t>
        </is>
      </c>
    </row>
    <row r="45" ht="17" customHeight="1">
      <c r="A45" s="4" t="inlineStr">
        <is>
          <t>PT-1042</t>
        </is>
      </c>
      <c r="B45" s="4" t="inlineStr">
        <is>
          <t>01/12/2024</t>
        </is>
      </c>
      <c r="C45" s="4" t="inlineStr">
        <is>
          <t>Aytən N.</t>
        </is>
      </c>
      <c r="D45" s="4" t="n">
        <v>51</v>
      </c>
      <c r="E45" s="4" t="inlineStr">
        <is>
          <t>Qadın</t>
        </is>
      </c>
      <c r="F45" s="4" t="inlineStr">
        <is>
          <t>Lənkəran</t>
        </is>
      </c>
      <c r="G45" s="4" t="inlineStr">
        <is>
          <t>Tip 2 Diabet</t>
        </is>
      </c>
      <c r="H45" s="4" t="n">
        <v>9.699999999999999</v>
      </c>
      <c r="I45" s="4" t="n">
        <v>93.3</v>
      </c>
      <c r="J45" s="4" t="n">
        <v>165</v>
      </c>
      <c r="K45" s="4" t="inlineStr">
        <is>
          <t>x</t>
        </is>
      </c>
      <c r="L45" s="4" t="inlineStr">
        <is>
          <t>—</t>
        </is>
      </c>
      <c r="M45" s="4" t="n">
        <v>5</v>
      </c>
      <c r="N45" s="4" t="inlineStr">
        <is>
          <t>11.04.2025</t>
        </is>
      </c>
    </row>
    <row r="46" ht="17" customHeight="1">
      <c r="A46" s="6" t="inlineStr">
        <is>
          <t>PT-1043</t>
        </is>
      </c>
      <c r="B46" s="6" t="inlineStr">
        <is>
          <t>05/12/2024</t>
        </is>
      </c>
      <c r="C46" s="6" t="inlineStr">
        <is>
          <t>Nərmin B.</t>
        </is>
      </c>
      <c r="D46" s="6" t="n">
        <v>43</v>
      </c>
      <c r="E46" s="6" t="inlineStr">
        <is>
          <t>Kişi</t>
        </is>
      </c>
      <c r="F46" s="6" t="inlineStr">
        <is>
          <t>Sumqayıt</t>
        </is>
      </c>
      <c r="G46" s="6" t="inlineStr">
        <is>
          <t>Tip 2 Diabet</t>
        </is>
      </c>
      <c r="H46" s="6" t="n">
        <v>9.6</v>
      </c>
      <c r="I46" s="6" t="n">
        <v>71.8</v>
      </c>
      <c r="J46" s="6" t="n">
        <v>167</v>
      </c>
      <c r="K46" s="6" t="inlineStr">
        <is>
          <t>Xeyr</t>
        </is>
      </c>
      <c r="L46" s="6" t="inlineStr">
        <is>
          <t>—</t>
        </is>
      </c>
      <c r="M46" s="6" t="n">
        <v>1</v>
      </c>
      <c r="N46" s="6" t="inlineStr">
        <is>
          <t>05.02.2025</t>
        </is>
      </c>
    </row>
    <row r="47" ht="17" customHeight="1">
      <c r="A47" s="4" t="inlineStr">
        <is>
          <t>PT-1044</t>
        </is>
      </c>
      <c r="B47" s="4" t="inlineStr">
        <is>
          <t>31/08/2024</t>
        </is>
      </c>
      <c r="C47" s="4" t="inlineStr">
        <is>
          <t>Nərmin B.</t>
        </is>
      </c>
      <c r="D47" s="4" t="n">
        <v>76</v>
      </c>
      <c r="E47" s="4" t="inlineStr">
        <is>
          <t>Kişi</t>
        </is>
      </c>
      <c r="F47" s="4" t="inlineStr">
        <is>
          <t>Lənkəran</t>
        </is>
      </c>
      <c r="G47" s="4" t="inlineStr">
        <is>
          <t>Tip 2 Diabet</t>
        </is>
      </c>
      <c r="H47" s="4" t="n">
        <v>8.199999999999999</v>
      </c>
      <c r="I47" s="4" t="n">
        <v>102.2</v>
      </c>
      <c r="J47" s="4" t="n">
        <v>167</v>
      </c>
      <c r="K47" s="4" t="inlineStr">
        <is>
          <t>x</t>
        </is>
      </c>
      <c r="L47" s="4" t="inlineStr">
        <is>
          <t>Yoxdur</t>
        </is>
      </c>
      <c r="M47" s="4" t="n">
        <v>7</v>
      </c>
      <c r="N47" s="4" t="inlineStr">
        <is>
          <t>04.01.2025</t>
        </is>
      </c>
    </row>
    <row r="48" ht="17" customHeight="1">
      <c r="A48" s="6" t="inlineStr">
        <is>
          <t>PT-1045</t>
        </is>
      </c>
      <c r="B48" s="6" t="inlineStr">
        <is>
          <t>23/07/2024</t>
        </is>
      </c>
      <c r="C48" s="6" t="inlineStr">
        <is>
          <t>Günel T.</t>
        </is>
      </c>
      <c r="D48" s="6" t="n">
        <v>31</v>
      </c>
      <c r="E48" s="7" t="inlineStr">
        <is>
          <t>M</t>
        </is>
      </c>
      <c r="F48" s="6" t="inlineStr">
        <is>
          <t>Bakı</t>
        </is>
      </c>
      <c r="G48" s="7" t="inlineStr">
        <is>
          <t>Tip 2 Diabet</t>
        </is>
      </c>
      <c r="H48" s="6" t="n">
        <v>10.2</v>
      </c>
      <c r="I48" s="6" t="n">
        <v>71.40000000000001</v>
      </c>
      <c r="J48" s="6" t="n">
        <v>188</v>
      </c>
      <c r="K48" s="6" t="inlineStr">
        <is>
          <t>XEYR</t>
        </is>
      </c>
      <c r="L48" s="6" t="inlineStr">
        <is>
          <t>—</t>
        </is>
      </c>
      <c r="M48" s="6" t="n">
        <v>9</v>
      </c>
      <c r="N48" s="6" t="inlineStr">
        <is>
          <t>24.09.2024</t>
        </is>
      </c>
    </row>
    <row r="49" ht="17" customHeight="1">
      <c r="A49" s="4" t="inlineStr">
        <is>
          <t>PT-1046</t>
        </is>
      </c>
      <c r="B49" s="4" t="inlineStr">
        <is>
          <t>03/03/2024</t>
        </is>
      </c>
      <c r="C49" s="4" t="inlineStr">
        <is>
          <t>Sevinc R.</t>
        </is>
      </c>
      <c r="D49" s="4" t="n">
        <v>30</v>
      </c>
      <c r="E49" s="4" t="inlineStr">
        <is>
          <t>Qadın</t>
        </is>
      </c>
      <c r="F49" s="4" t="inlineStr">
        <is>
          <t>Şirvan</t>
        </is>
      </c>
      <c r="G49" s="4" t="inlineStr">
        <is>
          <t>Tip 2 Diabet</t>
        </is>
      </c>
      <c r="H49" s="4" t="n">
        <v>11.4</v>
      </c>
      <c r="I49" s="4" t="n">
        <v>99.7</v>
      </c>
      <c r="J49" s="4" t="n">
        <v>183</v>
      </c>
      <c r="K49" s="4" t="inlineStr">
        <is>
          <t>b</t>
        </is>
      </c>
      <c r="L49" s="4" t="inlineStr">
        <is>
          <t>n/a</t>
        </is>
      </c>
      <c r="M49" s="4" t="n">
        <v>12</v>
      </c>
      <c r="N49" s="4" t="inlineStr">
        <is>
          <t>10.07.2024</t>
        </is>
      </c>
    </row>
    <row r="50" ht="17" customHeight="1">
      <c r="A50" s="6" t="inlineStr">
        <is>
          <t>PT-1047</t>
        </is>
      </c>
      <c r="B50" s="6" t="inlineStr">
        <is>
          <t>06/08/2024</t>
        </is>
      </c>
      <c r="C50" s="6" t="inlineStr">
        <is>
          <t>Tural A.</t>
        </is>
      </c>
      <c r="D50" s="6" t="n">
        <v>50</v>
      </c>
      <c r="E50" s="6" t="inlineStr">
        <is>
          <t>Kişi</t>
        </is>
      </c>
      <c r="F50" s="6" t="inlineStr">
        <is>
          <t>Lənkəran</t>
        </is>
      </c>
      <c r="G50" s="6" t="inlineStr">
        <is>
          <t>Tip 2 Diabet</t>
        </is>
      </c>
      <c r="H50" s="6" t="n">
        <v>8.4</v>
      </c>
      <c r="I50" s="6" t="n">
        <v>111.4</v>
      </c>
      <c r="J50" s="6" t="n">
        <v>172</v>
      </c>
      <c r="K50" s="8" t="inlineStr">
        <is>
          <t>N/A</t>
        </is>
      </c>
      <c r="L50" s="6" t="inlineStr">
        <is>
          <t>n/a</t>
        </is>
      </c>
      <c r="M50" s="6" t="n">
        <v>9</v>
      </c>
      <c r="N50" s="6" t="inlineStr">
        <is>
          <t>08.12.2024</t>
        </is>
      </c>
    </row>
    <row r="51" ht="17" customHeight="1">
      <c r="A51" s="4" t="inlineStr">
        <is>
          <t>PT-1048</t>
        </is>
      </c>
      <c r="B51" s="4" t="inlineStr">
        <is>
          <t>16/11/2024</t>
        </is>
      </c>
      <c r="C51" s="4" t="inlineStr">
        <is>
          <t>Günel T.</t>
        </is>
      </c>
      <c r="D51" s="4" t="n">
        <v>39</v>
      </c>
      <c r="E51" s="4" t="inlineStr">
        <is>
          <t>Qadın</t>
        </is>
      </c>
      <c r="F51" s="4" t="inlineStr">
        <is>
          <t>Bakı</t>
        </is>
      </c>
      <c r="G51" s="4" t="inlineStr">
        <is>
          <t>Tip 2 Diabet</t>
        </is>
      </c>
      <c r="H51" s="4" t="n">
        <v>9.9</v>
      </c>
      <c r="I51" s="4" t="n">
        <v>72.59999999999999</v>
      </c>
      <c r="J51" s="4" t="n">
        <v>176</v>
      </c>
      <c r="K51" s="4" t="inlineStr">
        <is>
          <t>beli</t>
        </is>
      </c>
      <c r="L51" s="4" t="inlineStr">
        <is>
          <t>NULL</t>
        </is>
      </c>
      <c r="M51" s="4" t="n">
        <v>2</v>
      </c>
      <c r="N51" s="4" t="inlineStr">
        <is>
          <t>21.12.2024</t>
        </is>
      </c>
    </row>
    <row r="52" ht="17" customHeight="1">
      <c r="A52" s="6" t="inlineStr">
        <is>
          <t>PT-1049</t>
        </is>
      </c>
      <c r="B52" s="6" t="inlineStr">
        <is>
          <t>18/03/2024</t>
        </is>
      </c>
      <c r="C52" s="6" t="inlineStr">
        <is>
          <t>Günel T.</t>
        </is>
      </c>
      <c r="D52" s="6" t="n">
        <v>46</v>
      </c>
      <c r="E52" s="6" t="inlineStr">
        <is>
          <t>Kişi</t>
        </is>
      </c>
      <c r="F52" s="6" t="inlineStr">
        <is>
          <t>Sumqayıt</t>
        </is>
      </c>
      <c r="G52" s="6" t="inlineStr">
        <is>
          <t>Tip 2 Diabet</t>
        </is>
      </c>
      <c r="H52" s="6" t="n">
        <v>6.2</v>
      </c>
      <c r="I52" s="6" t="n">
        <v>85.59999999999999</v>
      </c>
      <c r="J52" s="6" t="n">
        <v>189</v>
      </c>
      <c r="K52" s="6" t="inlineStr">
        <is>
          <t>XEYR</t>
        </is>
      </c>
      <c r="L52" s="8" t="inlineStr">
        <is>
          <t>N/A</t>
        </is>
      </c>
      <c r="M52" s="6" t="n">
        <v>1</v>
      </c>
      <c r="N52" s="6" t="inlineStr">
        <is>
          <t>09.05.2024</t>
        </is>
      </c>
    </row>
    <row r="53" ht="17" customHeight="1">
      <c r="A53" s="4" t="inlineStr">
        <is>
          <t>PT-1050</t>
        </is>
      </c>
      <c r="B53" s="4" t="inlineStr">
        <is>
          <t>03/08/2024</t>
        </is>
      </c>
      <c r="C53" s="4" t="inlineStr">
        <is>
          <t>Orxan F.</t>
        </is>
      </c>
      <c r="D53" s="4" t="n">
        <v>79</v>
      </c>
      <c r="E53" s="4" t="inlineStr">
        <is>
          <t>Kişi</t>
        </is>
      </c>
      <c r="F53" s="4" t="inlineStr">
        <is>
          <t>Şirvan</t>
        </is>
      </c>
      <c r="G53" s="4" t="inlineStr">
        <is>
          <t>Tip 2 Diabet</t>
        </is>
      </c>
      <c r="H53" s="4" t="n">
        <v>8</v>
      </c>
      <c r="I53" s="4" t="n">
        <v>55.4</v>
      </c>
      <c r="J53" s="4" t="n">
        <v>177</v>
      </c>
      <c r="K53" s="4" t="inlineStr">
        <is>
          <t>beli</t>
        </is>
      </c>
      <c r="L53" s="4" t="inlineStr">
        <is>
          <t>n/a</t>
        </is>
      </c>
      <c r="M53" s="4" t="n">
        <v>7</v>
      </c>
      <c r="N53" s="4" t="inlineStr">
        <is>
          <t>18.11.2024</t>
        </is>
      </c>
    </row>
    <row r="54" ht="17" customHeight="1">
      <c r="A54" s="6" t="inlineStr">
        <is>
          <t>PT-1051</t>
        </is>
      </c>
      <c r="B54" s="6" t="inlineStr">
        <is>
          <t>02/10/2024</t>
        </is>
      </c>
      <c r="C54" s="6" t="inlineStr">
        <is>
          <t>Tural A.</t>
        </is>
      </c>
      <c r="D54" s="6" t="n">
        <v>73</v>
      </c>
      <c r="E54" s="6" t="inlineStr">
        <is>
          <t>Kişi</t>
        </is>
      </c>
      <c r="F54" s="6" t="inlineStr">
        <is>
          <t>Lənkəran</t>
        </is>
      </c>
      <c r="G54" s="6" t="inlineStr">
        <is>
          <t>Tip 2 Diabet</t>
        </is>
      </c>
      <c r="H54" s="6" t="n">
        <v>7.1</v>
      </c>
      <c r="I54" s="6" t="n">
        <v>87.7</v>
      </c>
      <c r="J54" s="6" t="n">
        <v>156</v>
      </c>
      <c r="K54" s="6" t="inlineStr">
        <is>
          <t>XEYR</t>
        </is>
      </c>
      <c r="L54" s="6" t="inlineStr">
        <is>
          <t>Dərman dəyişdirildi</t>
        </is>
      </c>
      <c r="M54" s="6" t="n">
        <v>11</v>
      </c>
      <c r="N54" s="6" t="inlineStr">
        <is>
          <t>24.03.2025</t>
        </is>
      </c>
    </row>
    <row r="55" ht="17" customHeight="1">
      <c r="A55" s="4" t="inlineStr">
        <is>
          <t>PT-1052</t>
        </is>
      </c>
      <c r="B55" s="4" t="inlineStr">
        <is>
          <t>26/07/2024</t>
        </is>
      </c>
      <c r="C55" s="4" t="inlineStr">
        <is>
          <t>Rauf S.</t>
        </is>
      </c>
      <c r="D55" s="4" t="n">
        <v>75</v>
      </c>
      <c r="E55" s="4" t="inlineStr">
        <is>
          <t>Qadın</t>
        </is>
      </c>
      <c r="F55" s="4" t="inlineStr">
        <is>
          <t>Sumqayıt</t>
        </is>
      </c>
      <c r="G55" s="4" t="inlineStr">
        <is>
          <t>Tip 2 Diabet</t>
        </is>
      </c>
      <c r="H55" s="4" t="n">
        <v>11.4</v>
      </c>
      <c r="I55" s="4" t="n">
        <v>95.09999999999999</v>
      </c>
      <c r="J55" s="4" t="n">
        <v>180</v>
      </c>
      <c r="K55" s="4" t="inlineStr">
        <is>
          <t>b</t>
        </is>
      </c>
      <c r="L55" s="4" t="inlineStr">
        <is>
          <t>asdf123</t>
        </is>
      </c>
      <c r="M55" s="4" t="n">
        <v>11</v>
      </c>
      <c r="N55" s="4" t="inlineStr">
        <is>
          <t>01.08.2024</t>
        </is>
      </c>
    </row>
    <row r="56" ht="17" customHeight="1">
      <c r="A56" s="6" t="inlineStr">
        <is>
          <t>PT-1053</t>
        </is>
      </c>
      <c r="B56" s="6" t="inlineStr">
        <is>
          <t>12/02/2024</t>
        </is>
      </c>
      <c r="C56" s="6" t="inlineStr">
        <is>
          <t>Orxan F.</t>
        </is>
      </c>
      <c r="D56" s="6" t="n">
        <v>30</v>
      </c>
      <c r="E56" s="6" t="inlineStr">
        <is>
          <t>Qadın</t>
        </is>
      </c>
      <c r="F56" s="6" t="inlineStr">
        <is>
          <t>Sumqayıt</t>
        </is>
      </c>
      <c r="G56" s="6" t="inlineStr">
        <is>
          <t>Tip 2 Diabet</t>
        </is>
      </c>
      <c r="H56" s="6" t="n">
        <v>6.1</v>
      </c>
      <c r="I56" s="6" t="n">
        <v>83.40000000000001</v>
      </c>
      <c r="J56" s="6" t="n">
        <v>168</v>
      </c>
      <c r="K56" s="6" t="inlineStr">
        <is>
          <t>XEYR</t>
        </is>
      </c>
      <c r="L56" s="6" t="inlineStr">
        <is>
          <t>Dərman dəyişdirildi</t>
        </is>
      </c>
      <c r="M56" s="6" t="n">
        <v>6</v>
      </c>
      <c r="N56" s="6" t="inlineStr">
        <is>
          <t>19.05.2024</t>
        </is>
      </c>
    </row>
    <row r="57" ht="17" customHeight="1">
      <c r="A57" s="4" t="inlineStr">
        <is>
          <t>PT-1054</t>
        </is>
      </c>
      <c r="B57" s="4" t="inlineStr">
        <is>
          <t>22/05/2024</t>
        </is>
      </c>
      <c r="C57" s="4" t="inlineStr">
        <is>
          <t>Orxan F.</t>
        </is>
      </c>
      <c r="D57" s="4" t="n">
        <v>38</v>
      </c>
      <c r="E57" s="4" t="inlineStr">
        <is>
          <t>Kişi</t>
        </is>
      </c>
      <c r="F57" s="4" t="inlineStr">
        <is>
          <t>Lənkəran</t>
        </is>
      </c>
      <c r="G57" s="4" t="inlineStr">
        <is>
          <t>Tip 2 Diabet</t>
        </is>
      </c>
      <c r="H57" s="4" t="n">
        <v>5.9</v>
      </c>
      <c r="I57" s="4" t="n">
        <v>95.5</v>
      </c>
      <c r="J57" s="4" t="n">
        <v>177</v>
      </c>
      <c r="K57" s="4" t="inlineStr">
        <is>
          <t>Xeyr</t>
        </is>
      </c>
      <c r="L57" s="4" t="inlineStr">
        <is>
          <t>Yoxdur</t>
        </is>
      </c>
      <c r="M57" s="4" t="n">
        <v>2</v>
      </c>
      <c r="N57" s="4" t="inlineStr">
        <is>
          <t>04.11.2024</t>
        </is>
      </c>
    </row>
    <row r="58" ht="17" customHeight="1">
      <c r="A58" s="6" t="inlineStr">
        <is>
          <t>PT-1055</t>
        </is>
      </c>
      <c r="B58" s="6" t="inlineStr">
        <is>
          <t>21/01/2024</t>
        </is>
      </c>
      <c r="C58" s="6" t="inlineStr">
        <is>
          <t>Əli M.</t>
        </is>
      </c>
      <c r="D58" s="6" t="n">
        <v>37</v>
      </c>
      <c r="E58" s="6" t="inlineStr">
        <is>
          <t>Kişi</t>
        </is>
      </c>
      <c r="F58" s="6" t="inlineStr">
        <is>
          <t>Bakı</t>
        </is>
      </c>
      <c r="G58" s="6" t="inlineStr">
        <is>
          <t>Tip 2 Diabet</t>
        </is>
      </c>
      <c r="H58" s="6" t="n">
        <v>9.300000000000001</v>
      </c>
      <c r="I58" s="6" t="n">
        <v>72.90000000000001</v>
      </c>
      <c r="J58" s="6" t="n">
        <v>185</v>
      </c>
      <c r="K58" s="6" t="inlineStr">
        <is>
          <t>x</t>
        </is>
      </c>
      <c r="L58" s="6" t="inlineStr">
        <is>
          <t>—</t>
        </is>
      </c>
      <c r="M58" s="6" t="n">
        <v>10</v>
      </c>
      <c r="N58" s="6" t="inlineStr">
        <is>
          <t>16.03.2024</t>
        </is>
      </c>
    </row>
    <row r="59" ht="17" customHeight="1">
      <c r="A59" s="4" t="inlineStr">
        <is>
          <t>PT-1056</t>
        </is>
      </c>
      <c r="B59" s="4" t="inlineStr">
        <is>
          <t>26/08/2024</t>
        </is>
      </c>
      <c r="C59" s="4" t="inlineStr">
        <is>
          <t>Elvin K.</t>
        </is>
      </c>
      <c r="D59" s="4" t="n">
        <v>71</v>
      </c>
      <c r="E59" s="4" t="inlineStr">
        <is>
          <t>Qadın</t>
        </is>
      </c>
      <c r="F59" s="4" t="inlineStr">
        <is>
          <t>Sumqayıt</t>
        </is>
      </c>
      <c r="G59" s="4" t="inlineStr">
        <is>
          <t>Tip 2 Diabet</t>
        </is>
      </c>
      <c r="H59" s="4" t="n">
        <v>9.300000000000001</v>
      </c>
      <c r="I59" s="4" t="n">
        <v>127.3</v>
      </c>
      <c r="J59" s="4" t="n">
        <v>162</v>
      </c>
      <c r="K59" s="8" t="inlineStr">
        <is>
          <t>N/A</t>
        </is>
      </c>
      <c r="L59" s="4" t="inlineStr">
        <is>
          <t>n/a</t>
        </is>
      </c>
      <c r="M59" s="4" t="n">
        <v>3</v>
      </c>
      <c r="N59" s="4" t="inlineStr">
        <is>
          <t>13.11.2024</t>
        </is>
      </c>
    </row>
    <row r="60" ht="17" customHeight="1">
      <c r="A60" s="6" t="inlineStr">
        <is>
          <t>PT-1057</t>
        </is>
      </c>
      <c r="B60" s="6" t="inlineStr">
        <is>
          <t>25/02/2024</t>
        </is>
      </c>
      <c r="C60" s="6" t="inlineStr">
        <is>
          <t>Nərmin B.</t>
        </is>
      </c>
      <c r="D60" s="6" t="n">
        <v>23</v>
      </c>
      <c r="E60" s="6" t="inlineStr">
        <is>
          <t>Qadın</t>
        </is>
      </c>
      <c r="F60" s="6" t="inlineStr">
        <is>
          <t>Şirvan</t>
        </is>
      </c>
      <c r="G60" s="6" t="inlineStr">
        <is>
          <t>Tip 2 Diabet</t>
        </is>
      </c>
      <c r="H60" s="6" t="n">
        <v>9.699999999999999</v>
      </c>
      <c r="I60" s="6" t="n">
        <v>126.9</v>
      </c>
      <c r="J60" s="6" t="n">
        <v>180</v>
      </c>
      <c r="K60" s="6" t="inlineStr">
        <is>
          <t>x</t>
        </is>
      </c>
      <c r="L60" s="6" t="inlineStr">
        <is>
          <t>Gecikmiş müraciət</t>
        </is>
      </c>
      <c r="M60" s="6" t="n">
        <v>2</v>
      </c>
      <c r="N60" s="6" t="inlineStr">
        <is>
          <t>25.07.2024</t>
        </is>
      </c>
    </row>
    <row r="61" ht="17" customHeight="1">
      <c r="A61" s="4" t="inlineStr">
        <is>
          <t>PT-1058</t>
        </is>
      </c>
      <c r="B61" s="4" t="inlineStr">
        <is>
          <t>19/12/2024</t>
        </is>
      </c>
      <c r="C61" s="4" t="inlineStr">
        <is>
          <t>Günel T.</t>
        </is>
      </c>
      <c r="D61" s="4" t="n">
        <v>28</v>
      </c>
      <c r="E61" s="4" t="inlineStr">
        <is>
          <t>Qadın</t>
        </is>
      </c>
      <c r="F61" s="4" t="inlineStr">
        <is>
          <t>Şirvan</t>
        </is>
      </c>
      <c r="G61" s="4" t="inlineStr">
        <is>
          <t>Tip 2 Diabet</t>
        </is>
      </c>
      <c r="H61" s="4" t="n">
        <v>10.4</v>
      </c>
      <c r="I61" s="4" t="n">
        <v>114.7</v>
      </c>
      <c r="J61" s="4" t="n">
        <v>157</v>
      </c>
      <c r="K61" s="4" t="inlineStr">
        <is>
          <t>beli</t>
        </is>
      </c>
      <c r="L61" s="4" t="inlineStr">
        <is>
          <t>NULL</t>
        </is>
      </c>
      <c r="M61" s="4" t="n">
        <v>7</v>
      </c>
      <c r="N61" s="4" t="inlineStr">
        <is>
          <t>06.06.2025</t>
        </is>
      </c>
    </row>
    <row r="62" ht="17" customHeight="1">
      <c r="A62" s="6" t="inlineStr">
        <is>
          <t>PT-1059</t>
        </is>
      </c>
      <c r="B62" s="6" t="inlineStr">
        <is>
          <t>08/07/2024</t>
        </is>
      </c>
      <c r="C62" s="6" t="inlineStr">
        <is>
          <t>Leyla H.</t>
        </is>
      </c>
      <c r="D62" s="6" t="n">
        <v>54</v>
      </c>
      <c r="E62" s="6" t="inlineStr">
        <is>
          <t>Qadın</t>
        </is>
      </c>
      <c r="F62" s="6" t="inlineStr">
        <is>
          <t>Bakı</t>
        </is>
      </c>
      <c r="G62" s="6" t="inlineStr">
        <is>
          <t>Tip 2 Diabet</t>
        </is>
      </c>
      <c r="H62" s="6" t="n">
        <v>10.6</v>
      </c>
      <c r="I62" s="6" t="n">
        <v>116.7</v>
      </c>
      <c r="J62" s="6" t="n">
        <v>161</v>
      </c>
      <c r="K62" s="6" t="inlineStr">
        <is>
          <t>XEYR</t>
        </is>
      </c>
      <c r="L62" s="6" t="inlineStr">
        <is>
          <t>Dərman dəyişdirildi</t>
        </is>
      </c>
      <c r="M62" s="6" t="n">
        <v>11</v>
      </c>
      <c r="N62" s="6" t="inlineStr">
        <is>
          <t>02.11.2024</t>
        </is>
      </c>
    </row>
    <row r="63" ht="17" customHeight="1">
      <c r="A63" s="4" t="inlineStr">
        <is>
          <t>PT-1060</t>
        </is>
      </c>
      <c r="B63" s="4" t="inlineStr">
        <is>
          <t>28/12/2024</t>
        </is>
      </c>
      <c r="C63" s="8" t="inlineStr">
        <is>
          <t>N/A</t>
        </is>
      </c>
      <c r="D63" s="4" t="n">
        <v>49</v>
      </c>
      <c r="E63" s="4" t="inlineStr">
        <is>
          <t>Kişi</t>
        </is>
      </c>
      <c r="F63" s="4" t="inlineStr">
        <is>
          <t>Şirvan</t>
        </is>
      </c>
      <c r="G63" s="4" t="inlineStr">
        <is>
          <t>Tip 2 Diabet</t>
        </is>
      </c>
      <c r="H63" s="4" t="n">
        <v>11.3</v>
      </c>
      <c r="I63" s="4" t="n">
        <v>75.3</v>
      </c>
      <c r="J63" s="4" t="n">
        <v>189</v>
      </c>
      <c r="K63" s="8" t="inlineStr">
        <is>
          <t>N/A</t>
        </is>
      </c>
      <c r="L63" s="8" t="inlineStr">
        <is>
          <t>N/A</t>
        </is>
      </c>
      <c r="M63" s="4" t="n">
        <v>8</v>
      </c>
      <c r="N63" s="4" t="inlineStr">
        <is>
          <t>18.04.2025</t>
        </is>
      </c>
    </row>
    <row r="64" ht="17" customHeight="1">
      <c r="A64" s="6" t="inlineStr">
        <is>
          <t>PT-1061</t>
        </is>
      </c>
      <c r="B64" s="6" t="inlineStr">
        <is>
          <t>30/10/2024</t>
        </is>
      </c>
      <c r="C64" s="6" t="inlineStr">
        <is>
          <t>Elvin K.</t>
        </is>
      </c>
      <c r="D64" s="6" t="n">
        <v>42</v>
      </c>
      <c r="E64" s="6" t="inlineStr">
        <is>
          <t>Kişi</t>
        </is>
      </c>
      <c r="F64" s="6" t="inlineStr">
        <is>
          <t>Bakı</t>
        </is>
      </c>
      <c r="G64" s="6" t="inlineStr">
        <is>
          <t>Tip 2 Diabet</t>
        </is>
      </c>
      <c r="H64" s="6" t="n">
        <v>7.4</v>
      </c>
      <c r="I64" s="6" t="n">
        <v>88.8</v>
      </c>
      <c r="J64" s="6" t="n">
        <v>184</v>
      </c>
      <c r="K64" s="6" t="inlineStr">
        <is>
          <t>b</t>
        </is>
      </c>
      <c r="L64" s="6" t="inlineStr">
        <is>
          <t>NULL</t>
        </is>
      </c>
      <c r="M64" s="6" t="n">
        <v>11</v>
      </c>
      <c r="N64" s="6" t="inlineStr">
        <is>
          <t>04.02.2025</t>
        </is>
      </c>
    </row>
    <row r="65" ht="17" customHeight="1">
      <c r="A65" s="4" t="inlineStr">
        <is>
          <t>PT-1062</t>
        </is>
      </c>
      <c r="B65" s="4" t="inlineStr">
        <is>
          <t>21/06/2024</t>
        </is>
      </c>
      <c r="C65" s="4" t="inlineStr">
        <is>
          <t>Əli M.</t>
        </is>
      </c>
      <c r="D65" s="4" t="n">
        <v>53</v>
      </c>
      <c r="E65" s="4" t="inlineStr">
        <is>
          <t>Qadın</t>
        </is>
      </c>
      <c r="F65" s="4" t="inlineStr">
        <is>
          <t>Sumqayıt</t>
        </is>
      </c>
      <c r="G65" s="4" t="inlineStr">
        <is>
          <t>Tip 2 Diabet</t>
        </is>
      </c>
      <c r="H65" s="4" t="n">
        <v>8.6</v>
      </c>
      <c r="I65" s="4" t="n">
        <v>81.59999999999999</v>
      </c>
      <c r="J65" s="4" t="n">
        <v>171</v>
      </c>
      <c r="K65" s="4" t="inlineStr">
        <is>
          <t>beli</t>
        </is>
      </c>
      <c r="L65" s="4" t="inlineStr">
        <is>
          <t>Dərman dəyişdirildi</t>
        </is>
      </c>
      <c r="M65" s="4" t="n">
        <v>10</v>
      </c>
      <c r="N65" s="4" t="inlineStr">
        <is>
          <t>17.12.2024</t>
        </is>
      </c>
    </row>
    <row r="66" ht="17" customHeight="1">
      <c r="A66" s="6" t="inlineStr">
        <is>
          <t>PT-1063</t>
        </is>
      </c>
      <c r="B66" s="6" t="inlineStr">
        <is>
          <t>21/05/2024</t>
        </is>
      </c>
      <c r="C66" s="6" t="inlineStr">
        <is>
          <t>Tural A.</t>
        </is>
      </c>
      <c r="D66" s="6" t="n">
        <v>22</v>
      </c>
      <c r="E66" s="6" t="inlineStr">
        <is>
          <t>Kişi</t>
        </is>
      </c>
      <c r="F66" s="6" t="inlineStr">
        <is>
          <t>Bakı</t>
        </is>
      </c>
      <c r="G66" s="6" t="inlineStr">
        <is>
          <t>Tip 2 Diabet</t>
        </is>
      </c>
      <c r="H66" s="6" t="n">
        <v>7.2</v>
      </c>
      <c r="I66" s="6" t="n">
        <v>85.5</v>
      </c>
      <c r="J66" s="6" t="n">
        <v>190</v>
      </c>
      <c r="K66" s="8" t="inlineStr">
        <is>
          <t>N/A</t>
        </is>
      </c>
      <c r="L66" s="6" t="inlineStr">
        <is>
          <t>Gecikmiş müraciət</t>
        </is>
      </c>
      <c r="M66" s="6" t="n">
        <v>12</v>
      </c>
      <c r="N66" s="6" t="inlineStr">
        <is>
          <t>19.09.2024</t>
        </is>
      </c>
    </row>
    <row r="67" ht="17" customHeight="1">
      <c r="A67" s="4" t="inlineStr">
        <is>
          <t>PT-1064</t>
        </is>
      </c>
      <c r="B67" s="4" t="inlineStr">
        <is>
          <t>26/11/2024</t>
        </is>
      </c>
      <c r="C67" s="4" t="inlineStr">
        <is>
          <t>Sevinc R.</t>
        </is>
      </c>
      <c r="D67" s="4" t="n">
        <v>50</v>
      </c>
      <c r="E67" s="4" t="inlineStr">
        <is>
          <t>Kişi</t>
        </is>
      </c>
      <c r="F67" s="4" t="inlineStr">
        <is>
          <t>Bakı</t>
        </is>
      </c>
      <c r="G67" s="4" t="inlineStr">
        <is>
          <t>Tip 2 Diabet</t>
        </is>
      </c>
      <c r="H67" s="4" t="n">
        <v>7.5</v>
      </c>
      <c r="I67" s="4" t="n">
        <v>85.3</v>
      </c>
      <c r="J67" s="4" t="n">
        <v>170</v>
      </c>
      <c r="K67" s="4" t="inlineStr">
        <is>
          <t>beli</t>
        </is>
      </c>
      <c r="L67" s="4" t="inlineStr">
        <is>
          <t>Yoxdur</t>
        </is>
      </c>
      <c r="M67" s="4" t="n">
        <v>10</v>
      </c>
      <c r="N67" s="4" t="inlineStr">
        <is>
          <t>28.02.2025</t>
        </is>
      </c>
    </row>
    <row r="68" ht="17" customHeight="1">
      <c r="A68" s="6" t="inlineStr">
        <is>
          <t>PT-1065</t>
        </is>
      </c>
      <c r="B68" s="6" t="inlineStr">
        <is>
          <t>30/08/2024</t>
        </is>
      </c>
      <c r="C68" s="6" t="inlineStr">
        <is>
          <t>Tural A.</t>
        </is>
      </c>
      <c r="D68" s="6" t="n">
        <v>55</v>
      </c>
      <c r="E68" s="6" t="inlineStr">
        <is>
          <t>Qadın</t>
        </is>
      </c>
      <c r="F68" s="6" t="inlineStr">
        <is>
          <t>Lənkəran</t>
        </is>
      </c>
      <c r="G68" s="6" t="inlineStr">
        <is>
          <t>Tip 2 Diabet</t>
        </is>
      </c>
      <c r="H68" s="6" t="n">
        <v>11.5</v>
      </c>
      <c r="I68" s="6" t="n">
        <v>96.3</v>
      </c>
      <c r="J68" s="6" t="n">
        <v>177</v>
      </c>
      <c r="K68" s="6" t="inlineStr">
        <is>
          <t>x</t>
        </is>
      </c>
      <c r="L68" s="8" t="inlineStr">
        <is>
          <t>N/A</t>
        </is>
      </c>
      <c r="M68" s="6" t="n">
        <v>5</v>
      </c>
      <c r="N68" s="6" t="inlineStr">
        <is>
          <t>16.11.2024</t>
        </is>
      </c>
    </row>
    <row r="69" ht="17" customHeight="1">
      <c r="A69" s="4" t="inlineStr">
        <is>
          <t>PT-1066</t>
        </is>
      </c>
      <c r="B69" s="4" t="inlineStr">
        <is>
          <t>08/05/2024</t>
        </is>
      </c>
      <c r="C69" s="4" t="inlineStr">
        <is>
          <t>Günel T.</t>
        </is>
      </c>
      <c r="D69" s="4" t="n">
        <v>29</v>
      </c>
      <c r="E69" s="4" t="inlineStr">
        <is>
          <t>Kişi</t>
        </is>
      </c>
      <c r="F69" s="4" t="inlineStr">
        <is>
          <t>Gəncə</t>
        </is>
      </c>
      <c r="G69" s="4" t="inlineStr">
        <is>
          <t>Tip 2 Diabet</t>
        </is>
      </c>
      <c r="H69" s="4" t="n">
        <v>6.5</v>
      </c>
      <c r="I69" s="4" t="n">
        <v>95.2</v>
      </c>
      <c r="J69" s="4" t="n">
        <v>166</v>
      </c>
      <c r="K69" s="4" t="inlineStr">
        <is>
          <t>Xeyr</t>
        </is>
      </c>
      <c r="L69" s="4" t="inlineStr">
        <is>
          <t>Gecikmiş müraciət</t>
        </is>
      </c>
      <c r="M69" s="4" t="n">
        <v>12</v>
      </c>
      <c r="N69" s="4" t="inlineStr">
        <is>
          <t>08.09.2024</t>
        </is>
      </c>
    </row>
    <row r="70" ht="17" customHeight="1">
      <c r="A70" s="6" t="inlineStr">
        <is>
          <t>PT-1067</t>
        </is>
      </c>
      <c r="B70" s="6" t="inlineStr">
        <is>
          <t>21/05/2024</t>
        </is>
      </c>
      <c r="C70" s="6" t="inlineStr">
        <is>
          <t>Nərmin B.</t>
        </is>
      </c>
      <c r="D70" s="8" t="n">
        <v>70</v>
      </c>
      <c r="E70" s="6" t="inlineStr">
        <is>
          <t>Qadın</t>
        </is>
      </c>
      <c r="F70" s="6" t="inlineStr">
        <is>
          <t>Bakı</t>
        </is>
      </c>
      <c r="G70" s="6" t="inlineStr">
        <is>
          <t>Tip 2 Diabet</t>
        </is>
      </c>
      <c r="H70" s="8" t="n">
        <v>5.1</v>
      </c>
      <c r="I70" s="6" t="n">
        <v>77.2</v>
      </c>
      <c r="J70" s="8" t="n">
        <v>178</v>
      </c>
      <c r="K70" s="6" t="inlineStr">
        <is>
          <t>Xeyr</t>
        </is>
      </c>
      <c r="L70" s="6" t="inlineStr">
        <is>
          <t>Dərman dəyişdirildi</t>
        </is>
      </c>
      <c r="M70" s="6" t="n">
        <v>1</v>
      </c>
      <c r="N70" s="6" t="inlineStr">
        <is>
          <t>04.10.2024</t>
        </is>
      </c>
    </row>
    <row r="71" ht="17" customHeight="1">
      <c r="A71" s="4" t="inlineStr">
        <is>
          <t>PT-1068</t>
        </is>
      </c>
      <c r="B71" s="4" t="inlineStr">
        <is>
          <t>05/03/2024</t>
        </is>
      </c>
      <c r="C71" s="4" t="inlineStr">
        <is>
          <t>Elvin K.</t>
        </is>
      </c>
      <c r="D71" s="4" t="n">
        <v>24</v>
      </c>
      <c r="E71" s="4" t="inlineStr">
        <is>
          <t>Kişi</t>
        </is>
      </c>
      <c r="F71" s="4" t="inlineStr">
        <is>
          <t>Şirvan</t>
        </is>
      </c>
      <c r="G71" s="4" t="inlineStr">
        <is>
          <t>Tip 2 Diabet</t>
        </is>
      </c>
      <c r="H71" s="4" t="n">
        <v>7.5</v>
      </c>
      <c r="I71" s="4" t="n">
        <v>125.8</v>
      </c>
      <c r="J71" s="4" t="n">
        <v>186</v>
      </c>
      <c r="K71" s="4" t="inlineStr">
        <is>
          <t>Bəli</t>
        </is>
      </c>
      <c r="L71" s="4" t="inlineStr">
        <is>
          <t>n/a</t>
        </is>
      </c>
      <c r="M71" s="4" t="n">
        <v>1</v>
      </c>
      <c r="N71" s="4" t="inlineStr">
        <is>
          <t>29.07.2024</t>
        </is>
      </c>
    </row>
    <row r="72" ht="17" customHeight="1">
      <c r="A72" s="6" t="inlineStr">
        <is>
          <t>PT-1069</t>
        </is>
      </c>
      <c r="B72" s="6" t="inlineStr">
        <is>
          <t>25/05/2024</t>
        </is>
      </c>
      <c r="C72" s="6" t="inlineStr">
        <is>
          <t>Sevinc R.</t>
        </is>
      </c>
      <c r="D72" s="6" t="n">
        <v>52</v>
      </c>
      <c r="E72" s="6" t="inlineStr">
        <is>
          <t>Qadın</t>
        </is>
      </c>
      <c r="F72" s="6" t="inlineStr">
        <is>
          <t>Gəncə</t>
        </is>
      </c>
      <c r="G72" s="6" t="inlineStr">
        <is>
          <t>Tip 2 Diabet</t>
        </is>
      </c>
      <c r="H72" s="6" t="n">
        <v>6.9</v>
      </c>
      <c r="I72" s="6" t="n">
        <v>58.9</v>
      </c>
      <c r="J72" s="6" t="n">
        <v>185</v>
      </c>
      <c r="K72" s="6" t="inlineStr">
        <is>
          <t>Bəli</t>
        </is>
      </c>
      <c r="L72" s="6" t="inlineStr">
        <is>
          <t>n/a</t>
        </is>
      </c>
      <c r="M72" s="6" t="n">
        <v>2</v>
      </c>
      <c r="N72" s="6" t="inlineStr">
        <is>
          <t>04.09.2024</t>
        </is>
      </c>
    </row>
    <row r="73" ht="17" customHeight="1">
      <c r="A73" s="4" t="inlineStr">
        <is>
          <t>PT-1070</t>
        </is>
      </c>
      <c r="B73" s="4" t="inlineStr">
        <is>
          <t>08/09/2024</t>
        </is>
      </c>
      <c r="C73" s="4" t="inlineStr">
        <is>
          <t>Leyla H.</t>
        </is>
      </c>
      <c r="D73" s="4" t="n">
        <v>58</v>
      </c>
      <c r="E73" s="4" t="inlineStr">
        <is>
          <t>Kişi</t>
        </is>
      </c>
      <c r="F73" s="4" t="inlineStr">
        <is>
          <t>Sumqayıt</t>
        </is>
      </c>
      <c r="G73" s="4" t="inlineStr">
        <is>
          <t>Tip 2 Diabet</t>
        </is>
      </c>
      <c r="H73" s="4" t="n">
        <v>6.7</v>
      </c>
      <c r="I73" s="4" t="n">
        <v>97.2</v>
      </c>
      <c r="J73" s="4" t="n">
        <v>174</v>
      </c>
      <c r="K73" s="4" t="inlineStr">
        <is>
          <t>Bəli</t>
        </is>
      </c>
      <c r="L73" s="4" t="inlineStr">
        <is>
          <t>Gecikmiş müraciət</t>
        </is>
      </c>
      <c r="M73" s="4" t="n">
        <v>2</v>
      </c>
      <c r="N73" s="4" t="inlineStr">
        <is>
          <t>28.01.2025</t>
        </is>
      </c>
    </row>
    <row r="74" ht="17" customHeight="1">
      <c r="A74" s="6" t="inlineStr">
        <is>
          <t>PT-1071</t>
        </is>
      </c>
      <c r="B74" s="6" t="inlineStr">
        <is>
          <t>01/08/2024</t>
        </is>
      </c>
      <c r="C74" s="6" t="inlineStr">
        <is>
          <t>Nərmin B.</t>
        </is>
      </c>
      <c r="D74" s="6" t="n">
        <v>60</v>
      </c>
      <c r="E74" s="6" t="inlineStr">
        <is>
          <t>Kişi</t>
        </is>
      </c>
      <c r="F74" s="6" t="inlineStr">
        <is>
          <t>Şirvan</t>
        </is>
      </c>
      <c r="G74" s="6" t="inlineStr">
        <is>
          <t>Tip 2 Diabet</t>
        </is>
      </c>
      <c r="H74" s="6" t="n">
        <v>8</v>
      </c>
      <c r="I74" s="6" t="n">
        <v>123.1</v>
      </c>
      <c r="J74" s="6" t="n">
        <v>174</v>
      </c>
      <c r="K74" s="8" t="inlineStr">
        <is>
          <t>N/A</t>
        </is>
      </c>
      <c r="L74" s="6" t="inlineStr">
        <is>
          <t>NULL</t>
        </is>
      </c>
      <c r="M74" s="6" t="n">
        <v>7</v>
      </c>
      <c r="N74" s="6" t="inlineStr">
        <is>
          <t>18.10.2024</t>
        </is>
      </c>
    </row>
    <row r="75" ht="17" customHeight="1">
      <c r="A75" s="4" t="inlineStr">
        <is>
          <t>PT-1072</t>
        </is>
      </c>
      <c r="B75" s="4" t="inlineStr">
        <is>
          <t>18/10/2024</t>
        </is>
      </c>
      <c r="C75" s="4" t="inlineStr">
        <is>
          <t>Nərmin B.</t>
        </is>
      </c>
      <c r="D75" s="8" t="n">
        <v>25</v>
      </c>
      <c r="E75" s="4" t="inlineStr">
        <is>
          <t>Kişi</t>
        </is>
      </c>
      <c r="F75" s="4" t="inlineStr">
        <is>
          <t>Sumqayıt</t>
        </is>
      </c>
      <c r="G75" s="4" t="inlineStr">
        <is>
          <t>Tip 2 Diabet</t>
        </is>
      </c>
      <c r="H75" s="8" t="n">
        <v>9.4</v>
      </c>
      <c r="I75" s="4" t="n">
        <v>74.8</v>
      </c>
      <c r="J75" s="8" t="n">
        <v>320</v>
      </c>
      <c r="K75" s="4" t="inlineStr">
        <is>
          <t>Xeyr</t>
        </is>
      </c>
      <c r="L75" s="4" t="inlineStr">
        <is>
          <t>Gecikmiş müraciət</t>
        </is>
      </c>
      <c r="M75" s="4" t="n">
        <v>3</v>
      </c>
      <c r="N75" s="4" t="inlineStr">
        <is>
          <t>08.03.2025</t>
        </is>
      </c>
    </row>
    <row r="76" ht="17" customHeight="1">
      <c r="A76" s="6" t="inlineStr">
        <is>
          <t>PT-1073</t>
        </is>
      </c>
      <c r="B76" s="6" t="inlineStr">
        <is>
          <t>08/02/2024</t>
        </is>
      </c>
      <c r="C76" s="6" t="inlineStr">
        <is>
          <t>Rauf S.</t>
        </is>
      </c>
      <c r="D76" s="6" t="n">
        <v>22</v>
      </c>
      <c r="E76" s="6" t="inlineStr">
        <is>
          <t>Qadın</t>
        </is>
      </c>
      <c r="F76" s="6" t="inlineStr">
        <is>
          <t>Lənkəran</t>
        </is>
      </c>
      <c r="G76" s="6" t="inlineStr">
        <is>
          <t>Tip 2 Diabet</t>
        </is>
      </c>
      <c r="H76" s="6" t="n">
        <v>9.699999999999999</v>
      </c>
      <c r="I76" s="6" t="n">
        <v>90.2</v>
      </c>
      <c r="J76" s="6" t="n">
        <v>157</v>
      </c>
      <c r="K76" s="6" t="inlineStr">
        <is>
          <t>Xeyr</t>
        </is>
      </c>
      <c r="L76" s="6" t="inlineStr">
        <is>
          <t>Dərman dəyişdirildi</t>
        </is>
      </c>
      <c r="M76" s="6" t="n">
        <v>12</v>
      </c>
      <c r="N76" s="6" t="inlineStr">
        <is>
          <t>20.04.2024</t>
        </is>
      </c>
    </row>
    <row r="77" ht="17" customHeight="1">
      <c r="A77" s="4" t="inlineStr">
        <is>
          <t>PT-1074</t>
        </is>
      </c>
      <c r="B77" s="4" t="inlineStr">
        <is>
          <t>25/12/2024</t>
        </is>
      </c>
      <c r="C77" s="4" t="inlineStr">
        <is>
          <t>Sevinc R.</t>
        </is>
      </c>
      <c r="D77" s="4" t="n">
        <v>26</v>
      </c>
      <c r="E77" s="4" t="inlineStr">
        <is>
          <t>Kişi</t>
        </is>
      </c>
      <c r="F77" s="4" t="inlineStr">
        <is>
          <t>Gəncə</t>
        </is>
      </c>
      <c r="G77" s="4" t="inlineStr">
        <is>
          <t>Tip 2 Diabet</t>
        </is>
      </c>
      <c r="H77" s="4" t="n">
        <v>10.3</v>
      </c>
      <c r="I77" s="4" t="n">
        <v>101.9</v>
      </c>
      <c r="J77" s="4" t="n">
        <v>167</v>
      </c>
      <c r="K77" s="4" t="inlineStr">
        <is>
          <t>XEYR</t>
        </is>
      </c>
      <c r="L77" s="4" t="inlineStr">
        <is>
          <t>—</t>
        </is>
      </c>
      <c r="M77" s="4" t="n">
        <v>9</v>
      </c>
      <c r="N77" s="4" t="inlineStr">
        <is>
          <t>20.02.2025</t>
        </is>
      </c>
    </row>
    <row r="78" ht="17" customHeight="1">
      <c r="A78" s="6" t="inlineStr">
        <is>
          <t>PT-1075</t>
        </is>
      </c>
      <c r="B78" s="6" t="inlineStr">
        <is>
          <t>27/11/2024</t>
        </is>
      </c>
      <c r="C78" s="6" t="inlineStr">
        <is>
          <t>Rauf S.</t>
        </is>
      </c>
      <c r="D78" s="6" t="n">
        <v>80</v>
      </c>
      <c r="E78" s="6" t="inlineStr">
        <is>
          <t>Qadın</t>
        </is>
      </c>
      <c r="F78" s="6" t="inlineStr">
        <is>
          <t>Sumqayıt</t>
        </is>
      </c>
      <c r="G78" s="6" t="inlineStr">
        <is>
          <t>Tip 2 Diabet</t>
        </is>
      </c>
      <c r="H78" s="6" t="n">
        <v>6.2</v>
      </c>
      <c r="I78" s="6" t="n">
        <v>67.40000000000001</v>
      </c>
      <c r="J78" s="6" t="n">
        <v>174</v>
      </c>
      <c r="K78" s="6" t="inlineStr">
        <is>
          <t>b</t>
        </is>
      </c>
      <c r="L78" s="6" t="inlineStr">
        <is>
          <t>Yoxdur</t>
        </is>
      </c>
      <c r="M78" s="6" t="n">
        <v>10</v>
      </c>
      <c r="N78" s="6" t="inlineStr">
        <is>
          <t>08.02.2025</t>
        </is>
      </c>
    </row>
    <row r="79" ht="17" customHeight="1">
      <c r="A79" s="4" t="inlineStr">
        <is>
          <t>PT-1076</t>
        </is>
      </c>
      <c r="B79" s="4" t="inlineStr">
        <is>
          <t>12/08/2024</t>
        </is>
      </c>
      <c r="C79" s="4" t="inlineStr">
        <is>
          <t>Leyla H.</t>
        </is>
      </c>
      <c r="D79" s="4" t="n">
        <v>51</v>
      </c>
      <c r="E79" s="4" t="inlineStr">
        <is>
          <t>Qadın</t>
        </is>
      </c>
      <c r="F79" s="4" t="inlineStr">
        <is>
          <t>Lənkəran</t>
        </is>
      </c>
      <c r="G79" s="4" t="inlineStr">
        <is>
          <t>Tip 2 Diabet</t>
        </is>
      </c>
      <c r="H79" s="4" t="n">
        <v>11.2</v>
      </c>
      <c r="I79" s="4" t="n">
        <v>92.5</v>
      </c>
      <c r="J79" s="4" t="n">
        <v>186</v>
      </c>
      <c r="K79" s="4" t="inlineStr">
        <is>
          <t>XEYR</t>
        </is>
      </c>
      <c r="L79" s="4" t="inlineStr">
        <is>
          <t>—</t>
        </is>
      </c>
      <c r="M79" s="4" t="n">
        <v>10</v>
      </c>
      <c r="N79" s="4" t="inlineStr">
        <is>
          <t>22.08.2024</t>
        </is>
      </c>
    </row>
    <row r="80" ht="17" customHeight="1">
      <c r="A80" s="6" t="inlineStr">
        <is>
          <t>PT-1077</t>
        </is>
      </c>
      <c r="B80" s="6" t="inlineStr">
        <is>
          <t>09/08/2024</t>
        </is>
      </c>
      <c r="C80" s="6" t="inlineStr">
        <is>
          <t>Aytən N.</t>
        </is>
      </c>
      <c r="D80" s="6" t="n">
        <v>60</v>
      </c>
      <c r="E80" s="6" t="inlineStr">
        <is>
          <t>Qadın</t>
        </is>
      </c>
      <c r="F80" s="6" t="inlineStr">
        <is>
          <t>Bakı</t>
        </is>
      </c>
      <c r="G80" s="6" t="inlineStr">
        <is>
          <t>Tip 2 Diabet</t>
        </is>
      </c>
      <c r="H80" s="6" t="n">
        <v>6.3</v>
      </c>
      <c r="I80" s="6" t="n">
        <v>127.1</v>
      </c>
      <c r="J80" s="6" t="n">
        <v>156</v>
      </c>
      <c r="K80" s="8" t="inlineStr">
        <is>
          <t>N/A</t>
        </is>
      </c>
      <c r="L80" s="6" t="inlineStr">
        <is>
          <t>Yoxdur</t>
        </is>
      </c>
      <c r="M80" s="6" t="n">
        <v>5</v>
      </c>
      <c r="N80" s="6" t="inlineStr">
        <is>
          <t>03.01.2025</t>
        </is>
      </c>
    </row>
    <row r="81" ht="17" customHeight="1">
      <c r="A81" s="4" t="inlineStr">
        <is>
          <t>PT-1078</t>
        </is>
      </c>
      <c r="B81" s="4" t="inlineStr">
        <is>
          <t>21/01/2024</t>
        </is>
      </c>
      <c r="C81" s="4" t="inlineStr">
        <is>
          <t>Rauf S.</t>
        </is>
      </c>
      <c r="D81" s="4" t="n">
        <v>52</v>
      </c>
      <c r="E81" s="4" t="inlineStr">
        <is>
          <t>Qadın</t>
        </is>
      </c>
      <c r="F81" s="4" t="inlineStr">
        <is>
          <t>Gəncə</t>
        </is>
      </c>
      <c r="G81" s="4" t="inlineStr">
        <is>
          <t>Tip 2 Diabet</t>
        </is>
      </c>
      <c r="H81" s="4" t="n">
        <v>6.8</v>
      </c>
      <c r="I81" s="4" t="n">
        <v>98.90000000000001</v>
      </c>
      <c r="J81" s="4" t="n">
        <v>186</v>
      </c>
      <c r="K81" s="4" t="inlineStr">
        <is>
          <t>Bəli</t>
        </is>
      </c>
      <c r="L81" s="8" t="inlineStr">
        <is>
          <t>N/A</t>
        </is>
      </c>
      <c r="M81" s="4" t="n">
        <v>6</v>
      </c>
      <c r="N81" s="4" t="inlineStr">
        <is>
          <t>04.05.2024</t>
        </is>
      </c>
    </row>
    <row r="82" ht="17" customHeight="1">
      <c r="A82" s="6" t="inlineStr">
        <is>
          <t>PT-1079</t>
        </is>
      </c>
      <c r="B82" s="6" t="inlineStr">
        <is>
          <t>19/06/2024</t>
        </is>
      </c>
      <c r="C82" s="6" t="inlineStr">
        <is>
          <t>Aytən N.</t>
        </is>
      </c>
      <c r="D82" s="6" t="n">
        <v>64</v>
      </c>
      <c r="E82" s="6" t="inlineStr">
        <is>
          <t>Kişi</t>
        </is>
      </c>
      <c r="F82" s="6" t="inlineStr">
        <is>
          <t>Sumqayıt</t>
        </is>
      </c>
      <c r="G82" s="6" t="inlineStr">
        <is>
          <t>Tip 2 Diabet</t>
        </is>
      </c>
      <c r="H82" s="6" t="n">
        <v>7.7</v>
      </c>
      <c r="I82" s="6" t="n">
        <v>107</v>
      </c>
      <c r="J82" s="6" t="n">
        <v>173</v>
      </c>
      <c r="K82" s="6" t="inlineStr">
        <is>
          <t>x</t>
        </is>
      </c>
      <c r="L82" s="8" t="inlineStr">
        <is>
          <t>N/A</t>
        </is>
      </c>
      <c r="M82" s="6" t="n">
        <v>9</v>
      </c>
      <c r="N82" s="6" t="inlineStr">
        <is>
          <t>28.06.2024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9" customWidth="1" min="4" max="4"/>
    <col width="12" customWidth="1" min="5" max="5"/>
    <col width="16" customWidth="1" min="6" max="6"/>
    <col width="10" customWidth="1" min="7" max="7"/>
    <col width="16" customWidth="1" min="8" max="8"/>
    <col width="8" customWidth="1" min="9" max="9"/>
    <col width="10" customWidth="1" min="10" max="10"/>
    <col width="18" customWidth="1" min="11" max="11"/>
    <col width="14" customWidth="1" min="12" max="12"/>
    <col width="14" customWidth="1" min="13" max="13"/>
    <col width="24" customWidth="1" min="15" max="15"/>
    <col width="10" customWidth="1" min="16" max="16"/>
  </cols>
  <sheetData>
    <row r="1" ht="24" customHeight="1">
      <c r="A1" s="12" t="inlineStr">
        <is>
          <t>✅  TƏMİZ MƏLUMAT — Python ilə emal edilmişdir  |  Son yenilənmə: İyun 2024  |  N = 76 pasiyent (4 silinib)</t>
        </is>
      </c>
    </row>
    <row r="2" ht="20" customHeight="1">
      <c r="A2" s="13" t="inlineStr">
        <is>
          <t>pasiyent_id</t>
        </is>
      </c>
      <c r="B2" s="13" t="inlineStr">
        <is>
          <t>qeydiyyat_tarixi</t>
        </is>
      </c>
      <c r="C2" s="13" t="inlineStr">
        <is>
          <t>yas</t>
        </is>
      </c>
      <c r="D2" s="13" t="inlineStr">
        <is>
          <t>cins</t>
        </is>
      </c>
      <c r="E2" s="13" t="inlineStr">
        <is>
          <t>region</t>
        </is>
      </c>
      <c r="F2" s="13" t="inlineStr">
        <is>
          <t>diaqnoz</t>
        </is>
      </c>
      <c r="G2" s="13" t="inlineStr">
        <is>
          <t>hba1c_%</t>
        </is>
      </c>
      <c r="H2" s="13" t="inlineStr">
        <is>
          <t>beden_kutlesi_kq</t>
        </is>
      </c>
      <c r="I2" s="13" t="inlineStr">
        <is>
          <t>boy_sm</t>
        </is>
      </c>
      <c r="J2" s="13" t="inlineStr">
        <is>
          <t>bmi</t>
        </is>
      </c>
      <c r="K2" s="13" t="inlineStr">
        <is>
          <t>muaLice_uyğunluq</t>
        </is>
      </c>
      <c r="L2" s="13" t="inlineStr">
        <is>
          <t>muayine_sayi</t>
        </is>
      </c>
      <c r="M2" s="13" t="inlineStr">
        <is>
          <t>son_ziyaret</t>
        </is>
      </c>
      <c r="O2" s="3" t="inlineStr">
        <is>
          <t>HbA1c RƏNGLƏNMƏSİ</t>
        </is>
      </c>
    </row>
    <row r="3" ht="17" customHeight="1">
      <c r="A3" s="4" t="inlineStr">
        <is>
          <t>PT-1000</t>
        </is>
      </c>
      <c r="B3" s="4" t="inlineStr">
        <is>
          <t>27.10.2024</t>
        </is>
      </c>
      <c r="C3" s="4" t="n">
        <v>62</v>
      </c>
      <c r="D3" s="4" t="inlineStr">
        <is>
          <t>Qadın</t>
        </is>
      </c>
      <c r="E3" s="4" t="inlineStr">
        <is>
          <t>Lənkəran</t>
        </is>
      </c>
      <c r="F3" s="4" t="inlineStr">
        <is>
          <t>Tip 2 Diabet</t>
        </is>
      </c>
      <c r="G3" s="8" t="n">
        <v>10.2</v>
      </c>
      <c r="H3" s="4" t="n">
        <v>84.8</v>
      </c>
      <c r="I3" s="4" t="n">
        <v>173</v>
      </c>
      <c r="J3" s="4">
        <f>I3/(H3/100)^2</f>
        <v/>
      </c>
      <c r="K3" s="8" t="inlineStr">
        <is>
          <t>Xeyr</t>
        </is>
      </c>
      <c r="L3" s="4" t="n">
        <v>7</v>
      </c>
      <c r="M3" s="4" t="inlineStr">
        <is>
          <t>17.11.2024</t>
        </is>
      </c>
      <c r="O3" s="14" t="inlineStr">
        <is>
          <t>✅ Nəzarətdə (≤7.0%)</t>
        </is>
      </c>
    </row>
    <row r="4" ht="17" customHeight="1">
      <c r="A4" s="6" t="inlineStr">
        <is>
          <t>PT-1001</t>
        </is>
      </c>
      <c r="B4" s="6" t="inlineStr">
        <is>
          <t>05.10.2024</t>
        </is>
      </c>
      <c r="C4" s="6" t="n">
        <v>49</v>
      </c>
      <c r="D4" s="6" t="inlineStr">
        <is>
          <t>Qadın</t>
        </is>
      </c>
      <c r="E4" s="6" t="inlineStr">
        <is>
          <t>Sumqayıt</t>
        </is>
      </c>
      <c r="F4" s="6" t="inlineStr">
        <is>
          <t>Tip 2 Diabet</t>
        </is>
      </c>
      <c r="G4" s="8" t="n">
        <v>10.5</v>
      </c>
      <c r="H4" s="6" t="n">
        <v>110.2</v>
      </c>
      <c r="I4" s="6" t="n">
        <v>180</v>
      </c>
      <c r="J4" s="6">
        <f>I4/(H4/100)^2</f>
        <v/>
      </c>
      <c r="K4" s="15" t="inlineStr">
        <is>
          <t>Bəli</t>
        </is>
      </c>
      <c r="L4" s="6" t="n">
        <v>11</v>
      </c>
      <c r="M4" s="6" t="inlineStr">
        <is>
          <t>05.10.2024</t>
        </is>
      </c>
      <c r="O4" s="16" t="inlineStr">
        <is>
          <t>⚠️ Yüksək (7.1–9.0%)</t>
        </is>
      </c>
    </row>
    <row r="5" ht="17" customHeight="1">
      <c r="A5" s="4" t="inlineStr">
        <is>
          <t>PT-1002</t>
        </is>
      </c>
      <c r="B5" s="4" t="inlineStr">
        <is>
          <t>29.04.2024</t>
        </is>
      </c>
      <c r="C5" s="4" t="n">
        <v>74</v>
      </c>
      <c r="D5" s="4" t="inlineStr">
        <is>
          <t>Qadın</t>
        </is>
      </c>
      <c r="E5" s="4" t="inlineStr">
        <is>
          <t>Bakı</t>
        </is>
      </c>
      <c r="F5" s="4" t="inlineStr">
        <is>
          <t>Tip 2 Diabet</t>
        </is>
      </c>
      <c r="G5" s="15" t="n">
        <v>6.4</v>
      </c>
      <c r="H5" s="4" t="n">
        <v>102.7</v>
      </c>
      <c r="I5" s="4" t="n">
        <v>180</v>
      </c>
      <c r="J5" s="4">
        <f>I5/(H5/100)^2</f>
        <v/>
      </c>
      <c r="K5" s="8" t="inlineStr">
        <is>
          <t>Xeyr</t>
        </is>
      </c>
      <c r="L5" s="4" t="n">
        <v>8</v>
      </c>
      <c r="M5" s="4" t="inlineStr">
        <is>
          <t>15.12.2024</t>
        </is>
      </c>
      <c r="O5" s="17" t="inlineStr">
        <is>
          <t>🔴 Kritik (&gt;9.0%)</t>
        </is>
      </c>
    </row>
    <row r="6" ht="17" customHeight="1">
      <c r="A6" s="6" t="inlineStr">
        <is>
          <t>PT-1003</t>
        </is>
      </c>
      <c r="B6" s="6" t="inlineStr">
        <is>
          <t>29.11.2024</t>
        </is>
      </c>
      <c r="C6" s="6" t="n">
        <v>34</v>
      </c>
      <c r="D6" s="6" t="inlineStr">
        <is>
          <t>Qadın</t>
        </is>
      </c>
      <c r="E6" s="6" t="inlineStr">
        <is>
          <t>Sumqayıt</t>
        </is>
      </c>
      <c r="F6" s="6" t="inlineStr">
        <is>
          <t>Tip 2 Diabet</t>
        </is>
      </c>
      <c r="G6" s="8" t="n">
        <v>10.6</v>
      </c>
      <c r="H6" s="6" t="n">
        <v>65.59999999999999</v>
      </c>
      <c r="I6" s="6" t="n">
        <v>188</v>
      </c>
      <c r="J6" s="6">
        <f>I6/(H6/100)^2</f>
        <v/>
      </c>
      <c r="K6" s="8" t="inlineStr">
        <is>
          <t>Xeyr</t>
        </is>
      </c>
      <c r="L6" s="6" t="n">
        <v>3</v>
      </c>
      <c r="M6" s="6" t="inlineStr">
        <is>
          <t>19.10.2024</t>
        </is>
      </c>
    </row>
    <row r="7" ht="17" customHeight="1">
      <c r="A7" s="4" t="inlineStr">
        <is>
          <t>PT-1004</t>
        </is>
      </c>
      <c r="B7" s="4" t="inlineStr">
        <is>
          <t>21.02.2024</t>
        </is>
      </c>
      <c r="C7" s="4" t="n">
        <v>58</v>
      </c>
      <c r="D7" s="4" t="inlineStr">
        <is>
          <t>Qadın</t>
        </is>
      </c>
      <c r="E7" s="4" t="inlineStr">
        <is>
          <t>Şirvan</t>
        </is>
      </c>
      <c r="F7" s="4" t="inlineStr">
        <is>
          <t>Tip 2 Diabet</t>
        </is>
      </c>
      <c r="G7" s="15" t="n">
        <v>6.3</v>
      </c>
      <c r="H7" s="4" t="n">
        <v>66.59999999999999</v>
      </c>
      <c r="I7" s="4" t="n">
        <v>185</v>
      </c>
      <c r="J7" s="4">
        <f>I7/(H7/100)^2</f>
        <v/>
      </c>
      <c r="K7" s="15" t="inlineStr">
        <is>
          <t>Bəli</t>
        </is>
      </c>
      <c r="L7" s="4" t="n">
        <v>3</v>
      </c>
      <c r="M7" s="4" t="inlineStr">
        <is>
          <t>27.10.2024</t>
        </is>
      </c>
    </row>
    <row r="8" ht="17" customHeight="1">
      <c r="A8" s="6" t="inlineStr">
        <is>
          <t>PT-1005</t>
        </is>
      </c>
      <c r="B8" s="6" t="inlineStr">
        <is>
          <t>15.05.2024</t>
        </is>
      </c>
      <c r="C8" s="6" t="n">
        <v>46</v>
      </c>
      <c r="D8" s="6" t="inlineStr">
        <is>
          <t>Qadın</t>
        </is>
      </c>
      <c r="E8" s="6" t="inlineStr">
        <is>
          <t>Şirvan</t>
        </is>
      </c>
      <c r="F8" s="6" t="inlineStr">
        <is>
          <t>Tip 2 Diabet</t>
        </is>
      </c>
      <c r="G8" s="8" t="n">
        <v>9.199999999999999</v>
      </c>
      <c r="H8" s="6" t="n">
        <v>109.1</v>
      </c>
      <c r="I8" s="6" t="n">
        <v>185</v>
      </c>
      <c r="J8" s="6">
        <f>I8/(H8/100)^2</f>
        <v/>
      </c>
      <c r="K8" s="8" t="inlineStr">
        <is>
          <t>Xeyr</t>
        </is>
      </c>
      <c r="L8" s="6" t="n">
        <v>7</v>
      </c>
      <c r="M8" s="6" t="inlineStr">
        <is>
          <t>06.12.2024</t>
        </is>
      </c>
      <c r="O8" s="3" t="inlineStr">
        <is>
          <t>TƏMİZLƏMƏ NƏTİCƏSİ</t>
        </is>
      </c>
    </row>
    <row r="9" ht="17" customHeight="1">
      <c r="A9" s="4" t="inlineStr">
        <is>
          <t>PT-1006</t>
        </is>
      </c>
      <c r="B9" s="4" t="inlineStr">
        <is>
          <t>06.09.2024</t>
        </is>
      </c>
      <c r="C9" s="4" t="n">
        <v>59</v>
      </c>
      <c r="D9" s="4" t="inlineStr">
        <is>
          <t>Kişi</t>
        </is>
      </c>
      <c r="E9" s="4" t="inlineStr">
        <is>
          <t>Gəncə</t>
        </is>
      </c>
      <c r="F9" s="4" t="inlineStr">
        <is>
          <t>Tip 2 Diabet</t>
        </is>
      </c>
      <c r="G9" s="7" t="n">
        <v>9</v>
      </c>
      <c r="H9" s="4" t="n">
        <v>72.09999999999999</v>
      </c>
      <c r="I9" s="4" t="n">
        <v>179</v>
      </c>
      <c r="J9" s="4">
        <f>I9/(H9/100)^2</f>
        <v/>
      </c>
      <c r="K9" s="8" t="inlineStr">
        <is>
          <t>Xeyr</t>
        </is>
      </c>
      <c r="L9" s="4" t="n">
        <v>5</v>
      </c>
      <c r="M9" s="4" t="inlineStr">
        <is>
          <t>22.07.2024</t>
        </is>
      </c>
      <c r="O9" s="9" t="inlineStr">
        <is>
          <t>İlkin sətir sayı:</t>
        </is>
      </c>
      <c r="P9" s="3" t="n">
        <v>80</v>
      </c>
    </row>
    <row r="10" ht="17" customHeight="1">
      <c r="A10" s="6" t="inlineStr">
        <is>
          <t>PT-1007</t>
        </is>
      </c>
      <c r="B10" s="6" t="inlineStr">
        <is>
          <t>10.08.2024</t>
        </is>
      </c>
      <c r="C10" s="6" t="n">
        <v>31</v>
      </c>
      <c r="D10" s="6" t="inlineStr">
        <is>
          <t>Kişi</t>
        </is>
      </c>
      <c r="E10" s="6" t="inlineStr">
        <is>
          <t>Lənkəran</t>
        </is>
      </c>
      <c r="F10" s="6" t="inlineStr">
        <is>
          <t>Tip 2 Diabet</t>
        </is>
      </c>
      <c r="G10" s="7" t="n">
        <v>8.199999999999999</v>
      </c>
      <c r="H10" s="6" t="n">
        <v>99.59999999999999</v>
      </c>
      <c r="I10" s="6" t="n">
        <v>186</v>
      </c>
      <c r="J10" s="6">
        <f>I10/(H10/100)^2</f>
        <v/>
      </c>
      <c r="K10" s="15" t="inlineStr">
        <is>
          <t>Bəli</t>
        </is>
      </c>
      <c r="L10" s="6" t="n">
        <v>2</v>
      </c>
      <c r="M10" s="6" t="inlineStr">
        <is>
          <t>20.09.2024</t>
        </is>
      </c>
      <c r="O10" s="9" t="inlineStr">
        <is>
          <t>Silinən dublikat:</t>
        </is>
      </c>
      <c r="P10" s="3" t="n">
        <v>1</v>
      </c>
    </row>
    <row r="11" ht="17" customHeight="1">
      <c r="A11" s="4" t="inlineStr">
        <is>
          <t>PT-1008</t>
        </is>
      </c>
      <c r="B11" s="4" t="inlineStr">
        <is>
          <t>29.01.2024</t>
        </is>
      </c>
      <c r="C11" s="4" t="n">
        <v>43</v>
      </c>
      <c r="D11" s="4" t="inlineStr">
        <is>
          <t>Qadın</t>
        </is>
      </c>
      <c r="E11" s="4" t="inlineStr">
        <is>
          <t>Gəncə</t>
        </is>
      </c>
      <c r="F11" s="4" t="inlineStr">
        <is>
          <t>Tip 2 Diabet</t>
        </is>
      </c>
      <c r="G11" s="7" t="n">
        <v>7.9</v>
      </c>
      <c r="H11" s="4" t="n">
        <v>66.7</v>
      </c>
      <c r="I11" s="4" t="n">
        <v>174</v>
      </c>
      <c r="J11" s="4">
        <f>I11/(H11/100)^2</f>
        <v/>
      </c>
      <c r="K11" s="8" t="inlineStr">
        <is>
          <t>Xeyr</t>
        </is>
      </c>
      <c r="L11" s="4" t="n">
        <v>11</v>
      </c>
      <c r="M11" s="4" t="inlineStr">
        <is>
          <t>20.12.2024</t>
        </is>
      </c>
      <c r="O11" s="9" t="inlineStr">
        <is>
          <t>Outlier silinib:</t>
        </is>
      </c>
      <c r="P11" s="3" t="n">
        <v>3</v>
      </c>
    </row>
    <row r="12" ht="17" customHeight="1">
      <c r="A12" s="6" t="inlineStr">
        <is>
          <t>PT-1009</t>
        </is>
      </c>
      <c r="B12" s="6" t="inlineStr">
        <is>
          <t>02.04.2024</t>
        </is>
      </c>
      <c r="C12" s="6" t="n">
        <v>35</v>
      </c>
      <c r="D12" s="6" t="inlineStr">
        <is>
          <t>Kişi</t>
        </is>
      </c>
      <c r="E12" s="6" t="inlineStr">
        <is>
          <t>Gəncə</t>
        </is>
      </c>
      <c r="F12" s="6" t="inlineStr">
        <is>
          <t>Tip 2 Diabet</t>
        </is>
      </c>
      <c r="G12" s="15" t="n">
        <v>6.6</v>
      </c>
      <c r="H12" s="6" t="n">
        <v>110.3</v>
      </c>
      <c r="I12" s="6" t="n">
        <v>177</v>
      </c>
      <c r="J12" s="6">
        <f>I12/(H12/100)^2</f>
        <v/>
      </c>
      <c r="K12" s="15" t="inlineStr">
        <is>
          <t>Bəli</t>
        </is>
      </c>
      <c r="L12" s="6" t="n">
        <v>9</v>
      </c>
      <c r="M12" s="6" t="inlineStr">
        <is>
          <t>25.11.2024</t>
        </is>
      </c>
      <c r="O12" s="9" t="inlineStr">
        <is>
          <t>Format düzəldildi:</t>
        </is>
      </c>
      <c r="P12" s="3" t="n">
        <v>8</v>
      </c>
    </row>
    <row r="13" ht="17" customHeight="1">
      <c r="A13" s="4" t="inlineStr">
        <is>
          <t>PT-1010</t>
        </is>
      </c>
      <c r="B13" s="4" t="inlineStr">
        <is>
          <t>14.03.2024</t>
        </is>
      </c>
      <c r="C13" s="4" t="n">
        <v>39</v>
      </c>
      <c r="D13" s="4" t="inlineStr">
        <is>
          <t>Qadın</t>
        </is>
      </c>
      <c r="E13" s="4" t="inlineStr">
        <is>
          <t>Bakı</t>
        </is>
      </c>
      <c r="F13" s="4" t="inlineStr">
        <is>
          <t>Tip 2 Diabet</t>
        </is>
      </c>
      <c r="G13" s="8" t="n">
        <v>9.1</v>
      </c>
      <c r="H13" s="4" t="n">
        <v>85.59999999999999</v>
      </c>
      <c r="I13" s="4" t="n">
        <v>179</v>
      </c>
      <c r="J13" s="4">
        <f>I13/(H13/100)^2</f>
        <v/>
      </c>
      <c r="K13" s="15" t="inlineStr">
        <is>
          <t>Bəli</t>
        </is>
      </c>
      <c r="L13" s="4" t="n">
        <v>9</v>
      </c>
      <c r="M13" s="4" t="inlineStr">
        <is>
          <t>10.09.2024</t>
        </is>
      </c>
      <c r="O13" s="9" t="inlineStr">
        <is>
          <t>Son sətir sayı:</t>
        </is>
      </c>
      <c r="P13" s="10" t="n">
        <v>76</v>
      </c>
    </row>
    <row r="14" ht="17" customHeight="1">
      <c r="A14" s="6" t="inlineStr">
        <is>
          <t>PT-1011</t>
        </is>
      </c>
      <c r="B14" s="6" t="inlineStr">
        <is>
          <t>12.12.2024</t>
        </is>
      </c>
      <c r="C14" s="6" t="n">
        <v>59</v>
      </c>
      <c r="D14" s="6" t="inlineStr">
        <is>
          <t>Kişi</t>
        </is>
      </c>
      <c r="E14" s="6" t="inlineStr">
        <is>
          <t>Bakı</t>
        </is>
      </c>
      <c r="F14" s="6" t="inlineStr">
        <is>
          <t>Tip 2 Diabet</t>
        </is>
      </c>
      <c r="G14" s="15" t="n">
        <v>6.5</v>
      </c>
      <c r="H14" s="6" t="n">
        <v>114.7</v>
      </c>
      <c r="I14" s="6" t="n">
        <v>176</v>
      </c>
      <c r="J14" s="6">
        <f>I14/(H14/100)^2</f>
        <v/>
      </c>
      <c r="K14" s="8" t="inlineStr">
        <is>
          <t>Xeyr</t>
        </is>
      </c>
      <c r="L14" s="6" t="n">
        <v>12</v>
      </c>
      <c r="M14" s="6" t="inlineStr">
        <is>
          <t>15.10.2024</t>
        </is>
      </c>
      <c r="O14" s="9" t="inlineStr">
        <is>
          <t>Keyfiyyət skoru:</t>
        </is>
      </c>
      <c r="P14" s="10" t="inlineStr">
        <is>
          <t>95.0%</t>
        </is>
      </c>
    </row>
    <row r="15" ht="17" customHeight="1">
      <c r="A15" s="4" t="inlineStr">
        <is>
          <t>PT-1012</t>
        </is>
      </c>
      <c r="B15" s="4" t="inlineStr">
        <is>
          <t>19.12.2024</t>
        </is>
      </c>
      <c r="C15" s="4" t="n">
        <v>41</v>
      </c>
      <c r="D15" s="4" t="inlineStr">
        <is>
          <t>Qadın</t>
        </is>
      </c>
      <c r="E15" s="4" t="inlineStr">
        <is>
          <t>Lənkəran</t>
        </is>
      </c>
      <c r="F15" s="4" t="inlineStr">
        <is>
          <t>Tip 2 Diabet</t>
        </is>
      </c>
      <c r="G15" s="8" t="n">
        <v>10.1</v>
      </c>
      <c r="H15" s="4" t="n">
        <v>70</v>
      </c>
      <c r="I15" s="4" t="n">
        <v>170</v>
      </c>
      <c r="J15" s="4">
        <f>I15/(H15/100)^2</f>
        <v/>
      </c>
      <c r="K15" s="8" t="inlineStr">
        <is>
          <t>Xeyr</t>
        </is>
      </c>
      <c r="L15" s="4" t="n">
        <v>3</v>
      </c>
      <c r="M15" s="4" t="inlineStr">
        <is>
          <t>28.08.2024</t>
        </is>
      </c>
    </row>
    <row r="16" ht="17" customHeight="1">
      <c r="A16" s="6" t="inlineStr">
        <is>
          <t>PT-1013</t>
        </is>
      </c>
      <c r="B16" s="6" t="inlineStr">
        <is>
          <t>14.07.2024</t>
        </is>
      </c>
      <c r="C16" s="6" t="n">
        <v>61</v>
      </c>
      <c r="D16" s="6" t="inlineStr">
        <is>
          <t>Qadın</t>
        </is>
      </c>
      <c r="E16" s="6" t="inlineStr">
        <is>
          <t>Gəncə</t>
        </is>
      </c>
      <c r="F16" s="6" t="inlineStr">
        <is>
          <t>Tip 2 Diabet</t>
        </is>
      </c>
      <c r="G16" s="7" t="n">
        <v>8.800000000000001</v>
      </c>
      <c r="H16" s="6" t="n">
        <v>117.6</v>
      </c>
      <c r="I16" s="6" t="n">
        <v>167</v>
      </c>
      <c r="J16" s="6">
        <f>I16/(H16/100)^2</f>
        <v/>
      </c>
      <c r="K16" s="15" t="inlineStr">
        <is>
          <t>Bəli</t>
        </is>
      </c>
      <c r="L16" s="6" t="n">
        <v>12</v>
      </c>
      <c r="M16" s="6" t="inlineStr">
        <is>
          <t>08.10.2024</t>
        </is>
      </c>
    </row>
    <row r="17" ht="17" customHeight="1">
      <c r="A17" s="4" t="inlineStr">
        <is>
          <t>PT-1014</t>
        </is>
      </c>
      <c r="B17" s="4" t="inlineStr">
        <is>
          <t>20.05.2024</t>
        </is>
      </c>
      <c r="C17" s="4" t="n">
        <v>25</v>
      </c>
      <c r="D17" s="4" t="inlineStr">
        <is>
          <t>Kişi</t>
        </is>
      </c>
      <c r="E17" s="4" t="inlineStr">
        <is>
          <t>Şirvan</t>
        </is>
      </c>
      <c r="F17" s="4" t="inlineStr">
        <is>
          <t>Tip 2 Diabet</t>
        </is>
      </c>
      <c r="G17" s="8" t="n">
        <v>10.4</v>
      </c>
      <c r="H17" s="4" t="n">
        <v>102.7</v>
      </c>
      <c r="I17" s="4" t="n">
        <v>184</v>
      </c>
      <c r="J17" s="4">
        <f>I17/(H17/100)^2</f>
        <v/>
      </c>
      <c r="K17" s="8" t="inlineStr">
        <is>
          <t>Xeyr</t>
        </is>
      </c>
      <c r="L17" s="4" t="n">
        <v>5</v>
      </c>
      <c r="M17" s="4" t="inlineStr">
        <is>
          <t>01.12.2024</t>
        </is>
      </c>
    </row>
    <row r="18" ht="17" customHeight="1">
      <c r="A18" s="6" t="inlineStr">
        <is>
          <t>PT-1015</t>
        </is>
      </c>
      <c r="B18" s="6" t="inlineStr">
        <is>
          <t>29.06.2024</t>
        </is>
      </c>
      <c r="C18" s="6" t="n">
        <v>39</v>
      </c>
      <c r="D18" s="6" t="inlineStr">
        <is>
          <t>Kişi</t>
        </is>
      </c>
      <c r="E18" s="6" t="inlineStr">
        <is>
          <t>Sumqayıt</t>
        </is>
      </c>
      <c r="F18" s="6" t="inlineStr">
        <is>
          <t>Tip 2 Diabet</t>
        </is>
      </c>
      <c r="G18" s="8" t="n">
        <v>9.1</v>
      </c>
      <c r="H18" s="6" t="n">
        <v>98.7</v>
      </c>
      <c r="I18" s="6" t="n">
        <v>181</v>
      </c>
      <c r="J18" s="6">
        <f>I18/(H18/100)^2</f>
        <v/>
      </c>
      <c r="K18" s="15" t="inlineStr">
        <is>
          <t>Bəli</t>
        </is>
      </c>
      <c r="L18" s="6" t="n">
        <v>12</v>
      </c>
      <c r="M18" s="6" t="inlineStr">
        <is>
          <t>23.07.2024</t>
        </is>
      </c>
    </row>
    <row r="19" ht="17" customHeight="1">
      <c r="A19" s="4" t="inlineStr">
        <is>
          <t>PT-1016</t>
        </is>
      </c>
      <c r="B19" s="4" t="inlineStr">
        <is>
          <t>17.11.2024</t>
        </is>
      </c>
      <c r="C19" s="4" t="n">
        <v>66</v>
      </c>
      <c r="D19" s="4" t="inlineStr">
        <is>
          <t>Kişi</t>
        </is>
      </c>
      <c r="E19" s="4" t="inlineStr">
        <is>
          <t>Lənkəran</t>
        </is>
      </c>
      <c r="F19" s="4" t="inlineStr">
        <is>
          <t>Tip 2 Diabet</t>
        </is>
      </c>
      <c r="G19" s="7" t="n">
        <v>7.6</v>
      </c>
      <c r="H19" s="4" t="n">
        <v>84.40000000000001</v>
      </c>
      <c r="I19" s="4" t="n">
        <v>176</v>
      </c>
      <c r="J19" s="4">
        <f>I19/(H19/100)^2</f>
        <v/>
      </c>
      <c r="K19" s="8" t="inlineStr">
        <is>
          <t>Xeyr</t>
        </is>
      </c>
      <c r="L19" s="4" t="n">
        <v>4</v>
      </c>
      <c r="M19" s="4" t="inlineStr">
        <is>
          <t>22.07.2024</t>
        </is>
      </c>
    </row>
    <row r="20" ht="17" customHeight="1">
      <c r="A20" s="6" t="inlineStr">
        <is>
          <t>PT-1017</t>
        </is>
      </c>
      <c r="B20" s="6" t="inlineStr">
        <is>
          <t>31.05.2024</t>
        </is>
      </c>
      <c r="C20" s="6" t="n">
        <v>45</v>
      </c>
      <c r="D20" s="6" t="inlineStr">
        <is>
          <t>Qadın</t>
        </is>
      </c>
      <c r="E20" s="6" t="inlineStr">
        <is>
          <t>Şirvan</t>
        </is>
      </c>
      <c r="F20" s="6" t="inlineStr">
        <is>
          <t>Tip 2 Diabet</t>
        </is>
      </c>
      <c r="G20" s="15" t="n">
        <v>7</v>
      </c>
      <c r="H20" s="6" t="n">
        <v>65.90000000000001</v>
      </c>
      <c r="I20" s="6" t="n">
        <v>175</v>
      </c>
      <c r="J20" s="6">
        <f>I20/(H20/100)^2</f>
        <v/>
      </c>
      <c r="K20" s="8" t="inlineStr">
        <is>
          <t>Xeyr</t>
        </is>
      </c>
      <c r="L20" s="6" t="n">
        <v>10</v>
      </c>
      <c r="M20" s="6" t="inlineStr">
        <is>
          <t>04.11.2024</t>
        </is>
      </c>
    </row>
    <row r="21" ht="17" customHeight="1">
      <c r="A21" s="4" t="inlineStr">
        <is>
          <t>PT-1018</t>
        </is>
      </c>
      <c r="B21" s="4" t="inlineStr">
        <is>
          <t>19.05.2024</t>
        </is>
      </c>
      <c r="C21" s="4" t="n">
        <v>78</v>
      </c>
      <c r="D21" s="4" t="inlineStr">
        <is>
          <t>Kişi</t>
        </is>
      </c>
      <c r="E21" s="4" t="inlineStr">
        <is>
          <t>Lənkəran</t>
        </is>
      </c>
      <c r="F21" s="4" t="inlineStr">
        <is>
          <t>Tip 2 Diabet</t>
        </is>
      </c>
      <c r="G21" s="7" t="n">
        <v>7.4</v>
      </c>
      <c r="H21" s="4" t="n">
        <v>107.5</v>
      </c>
      <c r="I21" s="4" t="n">
        <v>173</v>
      </c>
      <c r="J21" s="4">
        <f>I21/(H21/100)^2</f>
        <v/>
      </c>
      <c r="K21" s="8" t="inlineStr">
        <is>
          <t>Xeyr</t>
        </is>
      </c>
      <c r="L21" s="4" t="n">
        <v>7</v>
      </c>
      <c r="M21" s="4" t="inlineStr">
        <is>
          <t>28.07.2024</t>
        </is>
      </c>
    </row>
    <row r="22" ht="17" customHeight="1">
      <c r="A22" s="6" t="inlineStr">
        <is>
          <t>PT-1019</t>
        </is>
      </c>
      <c r="B22" s="6" t="inlineStr">
        <is>
          <t>27.08.2024</t>
        </is>
      </c>
      <c r="C22" s="6" t="n">
        <v>29</v>
      </c>
      <c r="D22" s="6" t="inlineStr">
        <is>
          <t>Kişi</t>
        </is>
      </c>
      <c r="E22" s="6" t="inlineStr">
        <is>
          <t>Sumqayıt</t>
        </is>
      </c>
      <c r="F22" s="6" t="inlineStr">
        <is>
          <t>Tip 2 Diabet</t>
        </is>
      </c>
      <c r="G22" s="8" t="n">
        <v>9.699999999999999</v>
      </c>
      <c r="H22" s="6" t="n">
        <v>71.5</v>
      </c>
      <c r="I22" s="6" t="n">
        <v>179</v>
      </c>
      <c r="J22" s="6">
        <f>I22/(H22/100)^2</f>
        <v/>
      </c>
      <c r="K22" s="8" t="inlineStr">
        <is>
          <t>Xeyr</t>
        </is>
      </c>
      <c r="L22" s="6" t="n">
        <v>10</v>
      </c>
      <c r="M22" s="6" t="inlineStr">
        <is>
          <t>30.09.2024</t>
        </is>
      </c>
    </row>
    <row r="23" ht="17" customHeight="1">
      <c r="A23" s="4" t="inlineStr">
        <is>
          <t>PT-1020</t>
        </is>
      </c>
      <c r="B23" s="4" t="inlineStr">
        <is>
          <t>16.02.2024</t>
        </is>
      </c>
      <c r="C23" s="4" t="n">
        <v>75</v>
      </c>
      <c r="D23" s="4" t="inlineStr">
        <is>
          <t>Qadın</t>
        </is>
      </c>
      <c r="E23" s="4" t="inlineStr">
        <is>
          <t>Lənkəran</t>
        </is>
      </c>
      <c r="F23" s="4" t="inlineStr">
        <is>
          <t>Tip 2 Diabet</t>
        </is>
      </c>
      <c r="G23" s="15" t="n">
        <v>6.3</v>
      </c>
      <c r="H23" s="4" t="n">
        <v>90.2</v>
      </c>
      <c r="I23" s="4" t="n">
        <v>172</v>
      </c>
      <c r="J23" s="4">
        <f>I23/(H23/100)^2</f>
        <v/>
      </c>
      <c r="K23" s="8" t="inlineStr">
        <is>
          <t>Xeyr</t>
        </is>
      </c>
      <c r="L23" s="4" t="n">
        <v>12</v>
      </c>
      <c r="M23" s="4" t="inlineStr">
        <is>
          <t>18.12.2024</t>
        </is>
      </c>
    </row>
    <row r="24" ht="17" customHeight="1">
      <c r="A24" s="6" t="inlineStr">
        <is>
          <t>PT-1021</t>
        </is>
      </c>
      <c r="B24" s="6" t="inlineStr">
        <is>
          <t>14.05.2024</t>
        </is>
      </c>
      <c r="C24" s="6" t="n">
        <v>62</v>
      </c>
      <c r="D24" s="6" t="inlineStr">
        <is>
          <t>Qadın</t>
        </is>
      </c>
      <c r="E24" s="6" t="inlineStr">
        <is>
          <t>Gəncə</t>
        </is>
      </c>
      <c r="F24" s="6" t="inlineStr">
        <is>
          <t>Tip 2 Diabet</t>
        </is>
      </c>
      <c r="G24" s="8" t="n">
        <v>10</v>
      </c>
      <c r="H24" s="6" t="n">
        <v>114.4</v>
      </c>
      <c r="I24" s="6" t="n">
        <v>161</v>
      </c>
      <c r="J24" s="6">
        <f>I24/(H24/100)^2</f>
        <v/>
      </c>
      <c r="K24" s="15" t="inlineStr">
        <is>
          <t>Bəli</t>
        </is>
      </c>
      <c r="L24" s="6" t="n">
        <v>9</v>
      </c>
      <c r="M24" s="6" t="inlineStr">
        <is>
          <t>05.07.2024</t>
        </is>
      </c>
    </row>
    <row r="25" ht="17" customHeight="1">
      <c r="A25" s="4" t="inlineStr">
        <is>
          <t>PT-1022</t>
        </is>
      </c>
      <c r="B25" s="4" t="inlineStr">
        <is>
          <t>13.11.2024</t>
        </is>
      </c>
      <c r="C25" s="4" t="n">
        <v>60</v>
      </c>
      <c r="D25" s="4" t="inlineStr">
        <is>
          <t>Qadın</t>
        </is>
      </c>
      <c r="E25" s="4" t="inlineStr">
        <is>
          <t>Bakı</t>
        </is>
      </c>
      <c r="F25" s="4" t="inlineStr">
        <is>
          <t>Tip 2 Diabet</t>
        </is>
      </c>
      <c r="G25" s="8" t="n">
        <v>10.4</v>
      </c>
      <c r="H25" s="4" t="n">
        <v>71.3</v>
      </c>
      <c r="I25" s="4" t="n">
        <v>160</v>
      </c>
      <c r="J25" s="4">
        <f>I25/(H25/100)^2</f>
        <v/>
      </c>
      <c r="K25" s="8" t="inlineStr">
        <is>
          <t>Xeyr</t>
        </is>
      </c>
      <c r="L25" s="4" t="n">
        <v>6</v>
      </c>
      <c r="M25" s="4" t="inlineStr">
        <is>
          <t>12.12.2024</t>
        </is>
      </c>
    </row>
    <row r="26" ht="17" customHeight="1">
      <c r="A26" s="6" t="inlineStr">
        <is>
          <t>PT-1023</t>
        </is>
      </c>
      <c r="B26" s="6" t="inlineStr">
        <is>
          <t>28.07.2024</t>
        </is>
      </c>
      <c r="C26" s="6" t="n">
        <v>32</v>
      </c>
      <c r="D26" s="6" t="inlineStr">
        <is>
          <t>Kişi</t>
        </is>
      </c>
      <c r="E26" s="6" t="inlineStr">
        <is>
          <t>Bakı</t>
        </is>
      </c>
      <c r="F26" s="6" t="inlineStr">
        <is>
          <t>Tip 2 Diabet</t>
        </is>
      </c>
      <c r="G26" s="15" t="n">
        <v>6.4</v>
      </c>
      <c r="H26" s="6" t="n">
        <v>60.2</v>
      </c>
      <c r="I26" s="6" t="n">
        <v>173</v>
      </c>
      <c r="J26" s="6">
        <f>I26/(H26/100)^2</f>
        <v/>
      </c>
      <c r="K26" s="15" t="inlineStr">
        <is>
          <t>Bəli</t>
        </is>
      </c>
      <c r="L26" s="6" t="n">
        <v>3</v>
      </c>
      <c r="M26" s="6" t="inlineStr">
        <is>
          <t>28.08.2024</t>
        </is>
      </c>
    </row>
    <row r="27" ht="17" customHeight="1">
      <c r="A27" s="4" t="inlineStr">
        <is>
          <t>PT-1024</t>
        </is>
      </c>
      <c r="B27" s="4" t="inlineStr">
        <is>
          <t>02.10.2024</t>
        </is>
      </c>
      <c r="C27" s="4" t="n">
        <v>33</v>
      </c>
      <c r="D27" s="4" t="inlineStr">
        <is>
          <t>Qadın</t>
        </is>
      </c>
      <c r="E27" s="4" t="inlineStr">
        <is>
          <t>Sumqayıt</t>
        </is>
      </c>
      <c r="F27" s="4" t="inlineStr">
        <is>
          <t>Tip 2 Diabet</t>
        </is>
      </c>
      <c r="G27" s="7" t="n">
        <v>8.300000000000001</v>
      </c>
      <c r="H27" s="4" t="n">
        <v>98.2</v>
      </c>
      <c r="I27" s="4" t="n">
        <v>181</v>
      </c>
      <c r="J27" s="4">
        <f>I27/(H27/100)^2</f>
        <v/>
      </c>
      <c r="K27" s="8" t="inlineStr">
        <is>
          <t>Xeyr</t>
        </is>
      </c>
      <c r="L27" s="4" t="n">
        <v>11</v>
      </c>
      <c r="M27" s="4" t="inlineStr">
        <is>
          <t>07.08.2024</t>
        </is>
      </c>
    </row>
    <row r="28" ht="17" customHeight="1">
      <c r="A28" s="6" t="inlineStr">
        <is>
          <t>PT-1025</t>
        </is>
      </c>
      <c r="B28" s="6" t="inlineStr">
        <is>
          <t>31.07.2024</t>
        </is>
      </c>
      <c r="C28" s="6" t="n">
        <v>66</v>
      </c>
      <c r="D28" s="6" t="inlineStr">
        <is>
          <t>Kişi</t>
        </is>
      </c>
      <c r="E28" s="6" t="inlineStr">
        <is>
          <t>Şirvan</t>
        </is>
      </c>
      <c r="F28" s="6" t="inlineStr">
        <is>
          <t>Tip 2 Diabet</t>
        </is>
      </c>
      <c r="G28" s="8" t="n">
        <v>10</v>
      </c>
      <c r="H28" s="6" t="n">
        <v>94.90000000000001</v>
      </c>
      <c r="I28" s="6" t="n">
        <v>188</v>
      </c>
      <c r="J28" s="6">
        <f>I28/(H28/100)^2</f>
        <v/>
      </c>
      <c r="K28" s="8" t="inlineStr">
        <is>
          <t>Xeyr</t>
        </is>
      </c>
      <c r="L28" s="6" t="n">
        <v>2</v>
      </c>
      <c r="M28" s="6" t="inlineStr">
        <is>
          <t>22.12.2024</t>
        </is>
      </c>
    </row>
    <row r="29" ht="17" customHeight="1">
      <c r="A29" s="4" t="inlineStr">
        <is>
          <t>PT-1026</t>
        </is>
      </c>
      <c r="B29" s="4" t="inlineStr">
        <is>
          <t>08.07.2024</t>
        </is>
      </c>
      <c r="C29" s="4" t="n">
        <v>38</v>
      </c>
      <c r="D29" s="4" t="inlineStr">
        <is>
          <t>Qadın</t>
        </is>
      </c>
      <c r="E29" s="4" t="inlineStr">
        <is>
          <t>Bakı</t>
        </is>
      </c>
      <c r="F29" s="4" t="inlineStr">
        <is>
          <t>Tip 2 Diabet</t>
        </is>
      </c>
      <c r="G29" s="7" t="n">
        <v>8.199999999999999</v>
      </c>
      <c r="H29" s="4" t="n">
        <v>72.2</v>
      </c>
      <c r="I29" s="4" t="n">
        <v>169</v>
      </c>
      <c r="J29" s="4">
        <f>I29/(H29/100)^2</f>
        <v/>
      </c>
      <c r="K29" s="15" t="inlineStr">
        <is>
          <t>Bəli</t>
        </is>
      </c>
      <c r="L29" s="4" t="n">
        <v>12</v>
      </c>
      <c r="M29" s="4" t="inlineStr">
        <is>
          <t>01.10.2024</t>
        </is>
      </c>
    </row>
    <row r="30" ht="17" customHeight="1">
      <c r="A30" s="6" t="inlineStr">
        <is>
          <t>PT-1027</t>
        </is>
      </c>
      <c r="B30" s="6" t="inlineStr">
        <is>
          <t>05.10.2024</t>
        </is>
      </c>
      <c r="C30" s="6" t="n">
        <v>66</v>
      </c>
      <c r="D30" s="6" t="inlineStr">
        <is>
          <t>Qadın</t>
        </is>
      </c>
      <c r="E30" s="6" t="inlineStr">
        <is>
          <t>Sumqayıt</t>
        </is>
      </c>
      <c r="F30" s="6" t="inlineStr">
        <is>
          <t>Tip 2 Diabet</t>
        </is>
      </c>
      <c r="G30" s="15" t="n">
        <v>6.5</v>
      </c>
      <c r="H30" s="6" t="n">
        <v>74.59999999999999</v>
      </c>
      <c r="I30" s="6" t="n">
        <v>188</v>
      </c>
      <c r="J30" s="6">
        <f>I30/(H30/100)^2</f>
        <v/>
      </c>
      <c r="K30" s="15" t="inlineStr">
        <is>
          <t>Bəli</t>
        </is>
      </c>
      <c r="L30" s="6" t="n">
        <v>9</v>
      </c>
      <c r="M30" s="6" t="inlineStr">
        <is>
          <t>22.07.2024</t>
        </is>
      </c>
    </row>
    <row r="31" ht="17" customHeight="1">
      <c r="A31" s="4" t="inlineStr">
        <is>
          <t>PT-1028</t>
        </is>
      </c>
      <c r="B31" s="4" t="inlineStr">
        <is>
          <t>05.12.2024</t>
        </is>
      </c>
      <c r="C31" s="4" t="n">
        <v>38</v>
      </c>
      <c r="D31" s="4" t="inlineStr">
        <is>
          <t>Kişi</t>
        </is>
      </c>
      <c r="E31" s="4" t="inlineStr">
        <is>
          <t>Bakı</t>
        </is>
      </c>
      <c r="F31" s="4" t="inlineStr">
        <is>
          <t>Tip 2 Diabet</t>
        </is>
      </c>
      <c r="G31" s="15" t="n">
        <v>6.4</v>
      </c>
      <c r="H31" s="4" t="n">
        <v>78</v>
      </c>
      <c r="I31" s="4" t="n">
        <v>162</v>
      </c>
      <c r="J31" s="4">
        <f>I31/(H31/100)^2</f>
        <v/>
      </c>
      <c r="K31" s="15" t="inlineStr">
        <is>
          <t>Bəli</t>
        </is>
      </c>
      <c r="L31" s="4" t="n">
        <v>3</v>
      </c>
      <c r="M31" s="4" t="inlineStr">
        <is>
          <t>17.11.2024</t>
        </is>
      </c>
    </row>
    <row r="32" ht="17" customHeight="1">
      <c r="A32" s="6" t="inlineStr">
        <is>
          <t>PT-1029</t>
        </is>
      </c>
      <c r="B32" s="6" t="inlineStr">
        <is>
          <t>16.04.2024</t>
        </is>
      </c>
      <c r="C32" s="6" t="n">
        <v>62</v>
      </c>
      <c r="D32" s="6" t="inlineStr">
        <is>
          <t>Kişi</t>
        </is>
      </c>
      <c r="E32" s="6" t="inlineStr">
        <is>
          <t>Lənkəran</t>
        </is>
      </c>
      <c r="F32" s="6" t="inlineStr">
        <is>
          <t>Tip 2 Diabet</t>
        </is>
      </c>
      <c r="G32" s="8" t="n">
        <v>9.9</v>
      </c>
      <c r="H32" s="6" t="n">
        <v>72</v>
      </c>
      <c r="I32" s="6" t="n">
        <v>182</v>
      </c>
      <c r="J32" s="6">
        <f>I32/(H32/100)^2</f>
        <v/>
      </c>
      <c r="K32" s="15" t="inlineStr">
        <is>
          <t>Bəli</t>
        </is>
      </c>
      <c r="L32" s="6" t="n">
        <v>11</v>
      </c>
      <c r="M32" s="6" t="inlineStr">
        <is>
          <t>29.06.2024</t>
        </is>
      </c>
    </row>
    <row r="33" ht="17" customHeight="1">
      <c r="A33" s="4" t="inlineStr">
        <is>
          <t>PT-1030</t>
        </is>
      </c>
      <c r="B33" s="4" t="inlineStr">
        <is>
          <t>21.05.2024</t>
        </is>
      </c>
      <c r="C33" s="4" t="n">
        <v>34</v>
      </c>
      <c r="D33" s="4" t="inlineStr">
        <is>
          <t>Kişi</t>
        </is>
      </c>
      <c r="E33" s="4" t="inlineStr">
        <is>
          <t>Sumqayıt</t>
        </is>
      </c>
      <c r="F33" s="4" t="inlineStr">
        <is>
          <t>Tip 2 Diabet</t>
        </is>
      </c>
      <c r="G33" s="7" t="n">
        <v>8.699999999999999</v>
      </c>
      <c r="H33" s="4" t="n">
        <v>105.9</v>
      </c>
      <c r="I33" s="4" t="n">
        <v>161</v>
      </c>
      <c r="J33" s="4">
        <f>I33/(H33/100)^2</f>
        <v/>
      </c>
      <c r="K33" s="15" t="inlineStr">
        <is>
          <t>Bəli</t>
        </is>
      </c>
      <c r="L33" s="4" t="n">
        <v>4</v>
      </c>
      <c r="M33" s="4" t="inlineStr">
        <is>
          <t>02.07.2024</t>
        </is>
      </c>
    </row>
    <row r="34" ht="17" customHeight="1">
      <c r="A34" s="6" t="inlineStr">
        <is>
          <t>PT-1031</t>
        </is>
      </c>
      <c r="B34" s="6" t="inlineStr">
        <is>
          <t>02.07.2024</t>
        </is>
      </c>
      <c r="C34" s="6" t="n">
        <v>75</v>
      </c>
      <c r="D34" s="6" t="inlineStr">
        <is>
          <t>Kişi</t>
        </is>
      </c>
      <c r="E34" s="6" t="inlineStr">
        <is>
          <t>Sumqayıt</t>
        </is>
      </c>
      <c r="F34" s="6" t="inlineStr">
        <is>
          <t>Tip 2 Diabet</t>
        </is>
      </c>
      <c r="G34" s="7" t="n">
        <v>8.9</v>
      </c>
      <c r="H34" s="6" t="n">
        <v>58.9</v>
      </c>
      <c r="I34" s="6" t="n">
        <v>166</v>
      </c>
      <c r="J34" s="6">
        <f>I34/(H34/100)^2</f>
        <v/>
      </c>
      <c r="K34" s="15" t="inlineStr">
        <is>
          <t>Bəli</t>
        </is>
      </c>
      <c r="L34" s="6" t="n">
        <v>4</v>
      </c>
      <c r="M34" s="6" t="inlineStr">
        <is>
          <t>14.10.2024</t>
        </is>
      </c>
    </row>
    <row r="35" ht="17" customHeight="1">
      <c r="A35" s="4" t="inlineStr">
        <is>
          <t>PT-1032</t>
        </is>
      </c>
      <c r="B35" s="4" t="inlineStr">
        <is>
          <t>26.09.2024</t>
        </is>
      </c>
      <c r="C35" s="4" t="n">
        <v>32</v>
      </c>
      <c r="D35" s="4" t="inlineStr">
        <is>
          <t>Kişi</t>
        </is>
      </c>
      <c r="E35" s="4" t="inlineStr">
        <is>
          <t>Gəncə</t>
        </is>
      </c>
      <c r="F35" s="4" t="inlineStr">
        <is>
          <t>Tip 2 Diabet</t>
        </is>
      </c>
      <c r="G35" s="7" t="n">
        <v>8.4</v>
      </c>
      <c r="H35" s="4" t="n">
        <v>104.7</v>
      </c>
      <c r="I35" s="4" t="n">
        <v>174</v>
      </c>
      <c r="J35" s="4">
        <f>I35/(H35/100)^2</f>
        <v/>
      </c>
      <c r="K35" s="15" t="inlineStr">
        <is>
          <t>Bəli</t>
        </is>
      </c>
      <c r="L35" s="4" t="n">
        <v>9</v>
      </c>
      <c r="M35" s="4" t="inlineStr">
        <is>
          <t>04.11.2024</t>
        </is>
      </c>
    </row>
    <row r="36" ht="17" customHeight="1">
      <c r="A36" s="6" t="inlineStr">
        <is>
          <t>PT-1033</t>
        </is>
      </c>
      <c r="B36" s="6" t="inlineStr">
        <is>
          <t>23.04.2024</t>
        </is>
      </c>
      <c r="C36" s="6" t="n">
        <v>64</v>
      </c>
      <c r="D36" s="6" t="inlineStr">
        <is>
          <t>Kişi</t>
        </is>
      </c>
      <c r="E36" s="6" t="inlineStr">
        <is>
          <t>Şirvan</t>
        </is>
      </c>
      <c r="F36" s="6" t="inlineStr">
        <is>
          <t>Tip 2 Diabet</t>
        </is>
      </c>
      <c r="G36" s="8" t="n">
        <v>9.5</v>
      </c>
      <c r="H36" s="6" t="n">
        <v>112.5</v>
      </c>
      <c r="I36" s="6" t="n">
        <v>179</v>
      </c>
      <c r="J36" s="6">
        <f>I36/(H36/100)^2</f>
        <v/>
      </c>
      <c r="K36" s="8" t="inlineStr">
        <is>
          <t>Xeyr</t>
        </is>
      </c>
      <c r="L36" s="6" t="n">
        <v>9</v>
      </c>
      <c r="M36" s="6" t="inlineStr">
        <is>
          <t>10.12.2024</t>
        </is>
      </c>
    </row>
    <row r="37" ht="17" customHeight="1">
      <c r="A37" s="4" t="inlineStr">
        <is>
          <t>PT-1034</t>
        </is>
      </c>
      <c r="B37" s="4" t="inlineStr">
        <is>
          <t>16.01.2024</t>
        </is>
      </c>
      <c r="C37" s="4" t="n">
        <v>28</v>
      </c>
      <c r="D37" s="4" t="inlineStr">
        <is>
          <t>Qadın</t>
        </is>
      </c>
      <c r="E37" s="4" t="inlineStr">
        <is>
          <t>Bakı</t>
        </is>
      </c>
      <c r="F37" s="4" t="inlineStr">
        <is>
          <t>Tip 2 Diabet</t>
        </is>
      </c>
      <c r="G37" s="8" t="n">
        <v>10.1</v>
      </c>
      <c r="H37" s="4" t="n">
        <v>83.59999999999999</v>
      </c>
      <c r="I37" s="4" t="n">
        <v>161</v>
      </c>
      <c r="J37" s="4">
        <f>I37/(H37/100)^2</f>
        <v/>
      </c>
      <c r="K37" s="8" t="inlineStr">
        <is>
          <t>Xeyr</t>
        </is>
      </c>
      <c r="L37" s="4" t="n">
        <v>9</v>
      </c>
      <c r="M37" s="4" t="inlineStr">
        <is>
          <t>17.07.2024</t>
        </is>
      </c>
    </row>
    <row r="38" ht="17" customHeight="1">
      <c r="A38" s="6" t="inlineStr">
        <is>
          <t>PT-1035</t>
        </is>
      </c>
      <c r="B38" s="6" t="inlineStr">
        <is>
          <t>11.02.2024</t>
        </is>
      </c>
      <c r="C38" s="6" t="n">
        <v>45</v>
      </c>
      <c r="D38" s="6" t="inlineStr">
        <is>
          <t>Kişi</t>
        </is>
      </c>
      <c r="E38" s="6" t="inlineStr">
        <is>
          <t>Sumqayıt</t>
        </is>
      </c>
      <c r="F38" s="6" t="inlineStr">
        <is>
          <t>Tip 2 Diabet</t>
        </is>
      </c>
      <c r="G38" s="15" t="n">
        <v>6.5</v>
      </c>
      <c r="H38" s="6" t="n">
        <v>74.5</v>
      </c>
      <c r="I38" s="6" t="n">
        <v>178</v>
      </c>
      <c r="J38" s="6">
        <f>I38/(H38/100)^2</f>
        <v/>
      </c>
      <c r="K38" s="8" t="inlineStr">
        <is>
          <t>Xeyr</t>
        </is>
      </c>
      <c r="L38" s="6" t="n">
        <v>8</v>
      </c>
      <c r="M38" s="6" t="inlineStr">
        <is>
          <t>28.11.2024</t>
        </is>
      </c>
    </row>
    <row r="39" ht="17" customHeight="1">
      <c r="A39" s="4" t="inlineStr">
        <is>
          <t>PT-1036</t>
        </is>
      </c>
      <c r="B39" s="4" t="inlineStr">
        <is>
          <t>28.09.2024</t>
        </is>
      </c>
      <c r="C39" s="4" t="n">
        <v>43</v>
      </c>
      <c r="D39" s="4" t="inlineStr">
        <is>
          <t>Qadın</t>
        </is>
      </c>
      <c r="E39" s="4" t="inlineStr">
        <is>
          <t>Gəncə</t>
        </is>
      </c>
      <c r="F39" s="4" t="inlineStr">
        <is>
          <t>Tip 2 Diabet</t>
        </is>
      </c>
      <c r="G39" s="7" t="n">
        <v>8.5</v>
      </c>
      <c r="H39" s="4" t="n">
        <v>83.8</v>
      </c>
      <c r="I39" s="4" t="n">
        <v>183</v>
      </c>
      <c r="J39" s="4">
        <f>I39/(H39/100)^2</f>
        <v/>
      </c>
      <c r="K39" s="15" t="inlineStr">
        <is>
          <t>Bəli</t>
        </is>
      </c>
      <c r="L39" s="4" t="n">
        <v>12</v>
      </c>
      <c r="M39" s="4" t="inlineStr">
        <is>
          <t>12.12.2024</t>
        </is>
      </c>
    </row>
    <row r="40" ht="17" customHeight="1">
      <c r="A40" s="6" t="inlineStr">
        <is>
          <t>PT-1037</t>
        </is>
      </c>
      <c r="B40" s="6" t="inlineStr">
        <is>
          <t>09.10.2024</t>
        </is>
      </c>
      <c r="C40" s="6" t="n">
        <v>71</v>
      </c>
      <c r="D40" s="6" t="inlineStr">
        <is>
          <t>Kişi</t>
        </is>
      </c>
      <c r="E40" s="6" t="inlineStr">
        <is>
          <t>Şirvan</t>
        </is>
      </c>
      <c r="F40" s="6" t="inlineStr">
        <is>
          <t>Tip 2 Diabet</t>
        </is>
      </c>
      <c r="G40" s="7" t="n">
        <v>8.199999999999999</v>
      </c>
      <c r="H40" s="6" t="n">
        <v>111.3</v>
      </c>
      <c r="I40" s="6" t="n">
        <v>171</v>
      </c>
      <c r="J40" s="6">
        <f>I40/(H40/100)^2</f>
        <v/>
      </c>
      <c r="K40" s="8" t="inlineStr">
        <is>
          <t>Xeyr</t>
        </is>
      </c>
      <c r="L40" s="6" t="n">
        <v>9</v>
      </c>
      <c r="M40" s="6" t="inlineStr">
        <is>
          <t>09.10.2024</t>
        </is>
      </c>
    </row>
    <row r="41" ht="17" customHeight="1">
      <c r="A41" s="4" t="inlineStr">
        <is>
          <t>PT-1038</t>
        </is>
      </c>
      <c r="B41" s="4" t="inlineStr">
        <is>
          <t>31.07.2024</t>
        </is>
      </c>
      <c r="C41" s="4" t="n">
        <v>71</v>
      </c>
      <c r="D41" s="4" t="inlineStr">
        <is>
          <t>Kişi</t>
        </is>
      </c>
      <c r="E41" s="4" t="inlineStr">
        <is>
          <t>Şirvan</t>
        </is>
      </c>
      <c r="F41" s="4" t="inlineStr">
        <is>
          <t>Tip 2 Diabet</t>
        </is>
      </c>
      <c r="G41" s="7" t="n">
        <v>7.6</v>
      </c>
      <c r="H41" s="4" t="n">
        <v>76.8</v>
      </c>
      <c r="I41" s="4" t="n">
        <v>166</v>
      </c>
      <c r="J41" s="4">
        <f>I41/(H41/100)^2</f>
        <v/>
      </c>
      <c r="K41" s="8" t="inlineStr">
        <is>
          <t>Xeyr</t>
        </is>
      </c>
      <c r="L41" s="4" t="n">
        <v>4</v>
      </c>
      <c r="M41" s="4" t="inlineStr">
        <is>
          <t>21.12.2024</t>
        </is>
      </c>
    </row>
    <row r="42" ht="17" customHeight="1">
      <c r="A42" s="6" t="inlineStr">
        <is>
          <t>PT-1039</t>
        </is>
      </c>
      <c r="B42" s="6" t="inlineStr">
        <is>
          <t>30.08.2024</t>
        </is>
      </c>
      <c r="C42" s="6" t="n">
        <v>29</v>
      </c>
      <c r="D42" s="6" t="inlineStr">
        <is>
          <t>Kişi</t>
        </is>
      </c>
      <c r="E42" s="6" t="inlineStr">
        <is>
          <t>Bakı</t>
        </is>
      </c>
      <c r="F42" s="6" t="inlineStr">
        <is>
          <t>Tip 2 Diabet</t>
        </is>
      </c>
      <c r="G42" s="8" t="n">
        <v>10</v>
      </c>
      <c r="H42" s="6" t="n">
        <v>63.6</v>
      </c>
      <c r="I42" s="6" t="n">
        <v>161</v>
      </c>
      <c r="J42" s="6">
        <f>I42/(H42/100)^2</f>
        <v/>
      </c>
      <c r="K42" s="8" t="inlineStr">
        <is>
          <t>Xeyr</t>
        </is>
      </c>
      <c r="L42" s="6" t="n">
        <v>4</v>
      </c>
      <c r="M42" s="6" t="inlineStr">
        <is>
          <t>18.11.2024</t>
        </is>
      </c>
    </row>
    <row r="43" ht="17" customHeight="1">
      <c r="A43" s="4" t="inlineStr">
        <is>
          <t>PT-1040</t>
        </is>
      </c>
      <c r="B43" s="4" t="inlineStr">
        <is>
          <t>31.01.2024</t>
        </is>
      </c>
      <c r="C43" s="4" t="n">
        <v>62</v>
      </c>
      <c r="D43" s="4" t="inlineStr">
        <is>
          <t>Qadın</t>
        </is>
      </c>
      <c r="E43" s="4" t="inlineStr">
        <is>
          <t>Bakı</t>
        </is>
      </c>
      <c r="F43" s="4" t="inlineStr">
        <is>
          <t>Tip 2 Diabet</t>
        </is>
      </c>
      <c r="G43" s="8" t="n">
        <v>9.300000000000001</v>
      </c>
      <c r="H43" s="4" t="n">
        <v>82.59999999999999</v>
      </c>
      <c r="I43" s="4" t="n">
        <v>185</v>
      </c>
      <c r="J43" s="4">
        <f>I43/(H43/100)^2</f>
        <v/>
      </c>
      <c r="K43" s="8" t="inlineStr">
        <is>
          <t>Xeyr</t>
        </is>
      </c>
      <c r="L43" s="4" t="n">
        <v>2</v>
      </c>
      <c r="M43" s="4" t="inlineStr">
        <is>
          <t>10.09.2024</t>
        </is>
      </c>
    </row>
    <row r="44" ht="17" customHeight="1">
      <c r="A44" s="6" t="inlineStr">
        <is>
          <t>PT-1041</t>
        </is>
      </c>
      <c r="B44" s="6" t="inlineStr">
        <is>
          <t>03.11.2024</t>
        </is>
      </c>
      <c r="C44" s="6" t="n">
        <v>44</v>
      </c>
      <c r="D44" s="6" t="inlineStr">
        <is>
          <t>Qadın</t>
        </is>
      </c>
      <c r="E44" s="6" t="inlineStr">
        <is>
          <t>Bakı</t>
        </is>
      </c>
      <c r="F44" s="6" t="inlineStr">
        <is>
          <t>Tip 2 Diabet</t>
        </is>
      </c>
      <c r="G44" s="15" t="n">
        <v>6.7</v>
      </c>
      <c r="H44" s="6" t="n">
        <v>88.40000000000001</v>
      </c>
      <c r="I44" s="6" t="n">
        <v>162</v>
      </c>
      <c r="J44" s="6">
        <f>I44/(H44/100)^2</f>
        <v/>
      </c>
      <c r="K44" s="8" t="inlineStr">
        <is>
          <t>Xeyr</t>
        </is>
      </c>
      <c r="L44" s="6" t="n">
        <v>5</v>
      </c>
      <c r="M44" s="6" t="inlineStr">
        <is>
          <t>26.07.2024</t>
        </is>
      </c>
    </row>
    <row r="45" ht="17" customHeight="1">
      <c r="A45" s="4" t="inlineStr">
        <is>
          <t>PT-1042</t>
        </is>
      </c>
      <c r="B45" s="4" t="inlineStr">
        <is>
          <t>28.06.2024</t>
        </is>
      </c>
      <c r="C45" s="4" t="n">
        <v>60</v>
      </c>
      <c r="D45" s="4" t="inlineStr">
        <is>
          <t>Qadın</t>
        </is>
      </c>
      <c r="E45" s="4" t="inlineStr">
        <is>
          <t>Gəncə</t>
        </is>
      </c>
      <c r="F45" s="4" t="inlineStr">
        <is>
          <t>Tip 2 Diabet</t>
        </is>
      </c>
      <c r="G45" s="15" t="n">
        <v>6.7</v>
      </c>
      <c r="H45" s="4" t="n">
        <v>74.7</v>
      </c>
      <c r="I45" s="4" t="n">
        <v>165</v>
      </c>
      <c r="J45" s="4">
        <f>I45/(H45/100)^2</f>
        <v/>
      </c>
      <c r="K45" s="8" t="inlineStr">
        <is>
          <t>Xeyr</t>
        </is>
      </c>
      <c r="L45" s="4" t="n">
        <v>10</v>
      </c>
      <c r="M45" s="4" t="inlineStr">
        <is>
          <t>05.12.2024</t>
        </is>
      </c>
    </row>
    <row r="46" ht="17" customHeight="1">
      <c r="A46" s="6" t="inlineStr">
        <is>
          <t>PT-1043</t>
        </is>
      </c>
      <c r="B46" s="6" t="inlineStr">
        <is>
          <t>10.11.2024</t>
        </is>
      </c>
      <c r="C46" s="6" t="n">
        <v>68</v>
      </c>
      <c r="D46" s="6" t="inlineStr">
        <is>
          <t>Kişi</t>
        </is>
      </c>
      <c r="E46" s="6" t="inlineStr">
        <is>
          <t>Lənkəran</t>
        </is>
      </c>
      <c r="F46" s="6" t="inlineStr">
        <is>
          <t>Tip 2 Diabet</t>
        </is>
      </c>
      <c r="G46" s="7" t="n">
        <v>9</v>
      </c>
      <c r="H46" s="6" t="n">
        <v>97.5</v>
      </c>
      <c r="I46" s="6" t="n">
        <v>180</v>
      </c>
      <c r="J46" s="6">
        <f>I46/(H46/100)^2</f>
        <v/>
      </c>
      <c r="K46" s="8" t="inlineStr">
        <is>
          <t>Xeyr</t>
        </is>
      </c>
      <c r="L46" s="6" t="n">
        <v>2</v>
      </c>
      <c r="M46" s="6" t="inlineStr">
        <is>
          <t>14.08.2024</t>
        </is>
      </c>
    </row>
    <row r="47" ht="17" customHeight="1">
      <c r="A47" s="4" t="inlineStr">
        <is>
          <t>PT-1044</t>
        </is>
      </c>
      <c r="B47" s="4" t="inlineStr">
        <is>
          <t>19.05.2024</t>
        </is>
      </c>
      <c r="C47" s="4" t="n">
        <v>69</v>
      </c>
      <c r="D47" s="4" t="inlineStr">
        <is>
          <t>Qadın</t>
        </is>
      </c>
      <c r="E47" s="4" t="inlineStr">
        <is>
          <t>Bakı</t>
        </is>
      </c>
      <c r="F47" s="4" t="inlineStr">
        <is>
          <t>Tip 2 Diabet</t>
        </is>
      </c>
      <c r="G47" s="8" t="n">
        <v>10.4</v>
      </c>
      <c r="H47" s="4" t="n">
        <v>79.09999999999999</v>
      </c>
      <c r="I47" s="4" t="n">
        <v>163</v>
      </c>
      <c r="J47" s="4">
        <f>I47/(H47/100)^2</f>
        <v/>
      </c>
      <c r="K47" s="15" t="inlineStr">
        <is>
          <t>Bəli</t>
        </is>
      </c>
      <c r="L47" s="4" t="n">
        <v>11</v>
      </c>
      <c r="M47" s="4" t="inlineStr">
        <is>
          <t>14.12.2024</t>
        </is>
      </c>
    </row>
    <row r="48" ht="17" customHeight="1">
      <c r="A48" s="6" t="inlineStr">
        <is>
          <t>PT-1045</t>
        </is>
      </c>
      <c r="B48" s="6" t="inlineStr">
        <is>
          <t>24.07.2024</t>
        </is>
      </c>
      <c r="C48" s="6" t="n">
        <v>29</v>
      </c>
      <c r="D48" s="6" t="inlineStr">
        <is>
          <t>Kişi</t>
        </is>
      </c>
      <c r="E48" s="6" t="inlineStr">
        <is>
          <t>Bakı</t>
        </is>
      </c>
      <c r="F48" s="6" t="inlineStr">
        <is>
          <t>Tip 2 Diabet</t>
        </is>
      </c>
      <c r="G48" s="8" t="n">
        <v>9.6</v>
      </c>
      <c r="H48" s="6" t="n">
        <v>116.3</v>
      </c>
      <c r="I48" s="6" t="n">
        <v>160</v>
      </c>
      <c r="J48" s="6">
        <f>I48/(H48/100)^2</f>
        <v/>
      </c>
      <c r="K48" s="15" t="inlineStr">
        <is>
          <t>Bəli</t>
        </is>
      </c>
      <c r="L48" s="6" t="n">
        <v>8</v>
      </c>
      <c r="M48" s="6" t="inlineStr">
        <is>
          <t>14.10.2024</t>
        </is>
      </c>
    </row>
    <row r="49" ht="17" customHeight="1">
      <c r="A49" s="4" t="inlineStr">
        <is>
          <t>PT-1046</t>
        </is>
      </c>
      <c r="B49" s="4" t="inlineStr">
        <is>
          <t>20.08.2024</t>
        </is>
      </c>
      <c r="C49" s="4" t="n">
        <v>46</v>
      </c>
      <c r="D49" s="4" t="inlineStr">
        <is>
          <t>Kişi</t>
        </is>
      </c>
      <c r="E49" s="4" t="inlineStr">
        <is>
          <t>Şirvan</t>
        </is>
      </c>
      <c r="F49" s="4" t="inlineStr">
        <is>
          <t>Tip 2 Diabet</t>
        </is>
      </c>
      <c r="G49" s="7" t="n">
        <v>7.9</v>
      </c>
      <c r="H49" s="4" t="n">
        <v>101.3</v>
      </c>
      <c r="I49" s="4" t="n">
        <v>182</v>
      </c>
      <c r="J49" s="4">
        <f>I49/(H49/100)^2</f>
        <v/>
      </c>
      <c r="K49" s="15" t="inlineStr">
        <is>
          <t>Bəli</t>
        </is>
      </c>
      <c r="L49" s="4" t="n">
        <v>2</v>
      </c>
      <c r="M49" s="4" t="inlineStr">
        <is>
          <t>07.08.2024</t>
        </is>
      </c>
    </row>
    <row r="50" ht="17" customHeight="1">
      <c r="A50" s="6" t="inlineStr">
        <is>
          <t>PT-1047</t>
        </is>
      </c>
      <c r="B50" s="6" t="inlineStr">
        <is>
          <t>21.03.2024</t>
        </is>
      </c>
      <c r="C50" s="6" t="n">
        <v>73</v>
      </c>
      <c r="D50" s="6" t="inlineStr">
        <is>
          <t>Kişi</t>
        </is>
      </c>
      <c r="E50" s="6" t="inlineStr">
        <is>
          <t>Gəncə</t>
        </is>
      </c>
      <c r="F50" s="6" t="inlineStr">
        <is>
          <t>Tip 2 Diabet</t>
        </is>
      </c>
      <c r="G50" s="8" t="n">
        <v>9.300000000000001</v>
      </c>
      <c r="H50" s="6" t="n">
        <v>74.3</v>
      </c>
      <c r="I50" s="6" t="n">
        <v>179</v>
      </c>
      <c r="J50" s="6">
        <f>I50/(H50/100)^2</f>
        <v/>
      </c>
      <c r="K50" s="8" t="inlineStr">
        <is>
          <t>Xeyr</t>
        </is>
      </c>
      <c r="L50" s="6" t="n">
        <v>9</v>
      </c>
      <c r="M50" s="6" t="inlineStr">
        <is>
          <t>01.12.2024</t>
        </is>
      </c>
    </row>
    <row r="51" ht="17" customHeight="1">
      <c r="A51" s="4" t="inlineStr">
        <is>
          <t>PT-1048</t>
        </is>
      </c>
      <c r="B51" s="4" t="inlineStr">
        <is>
          <t>14.08.2024</t>
        </is>
      </c>
      <c r="C51" s="4" t="n">
        <v>51</v>
      </c>
      <c r="D51" s="4" t="inlineStr">
        <is>
          <t>Qadın</t>
        </is>
      </c>
      <c r="E51" s="4" t="inlineStr">
        <is>
          <t>Lənkəran</t>
        </is>
      </c>
      <c r="F51" s="4" t="inlineStr">
        <is>
          <t>Tip 2 Diabet</t>
        </is>
      </c>
      <c r="G51" s="7" t="n">
        <v>7.2</v>
      </c>
      <c r="H51" s="4" t="n">
        <v>88.7</v>
      </c>
      <c r="I51" s="4" t="n">
        <v>169</v>
      </c>
      <c r="J51" s="4">
        <f>I51/(H51/100)^2</f>
        <v/>
      </c>
      <c r="K51" s="8" t="inlineStr">
        <is>
          <t>Xeyr</t>
        </is>
      </c>
      <c r="L51" s="4" t="n">
        <v>3</v>
      </c>
      <c r="M51" s="4" t="inlineStr">
        <is>
          <t>09.09.2024</t>
        </is>
      </c>
    </row>
    <row r="52" ht="17" customHeight="1">
      <c r="A52" s="6" t="inlineStr">
        <is>
          <t>PT-1049</t>
        </is>
      </c>
      <c r="B52" s="6" t="inlineStr">
        <is>
          <t>13.12.2024</t>
        </is>
      </c>
      <c r="C52" s="6" t="n">
        <v>68</v>
      </c>
      <c r="D52" s="6" t="inlineStr">
        <is>
          <t>Qadın</t>
        </is>
      </c>
      <c r="E52" s="6" t="inlineStr">
        <is>
          <t>Bakı</t>
        </is>
      </c>
      <c r="F52" s="6" t="inlineStr">
        <is>
          <t>Tip 2 Diabet</t>
        </is>
      </c>
      <c r="G52" s="7" t="n">
        <v>8.6</v>
      </c>
      <c r="H52" s="6" t="n">
        <v>76.5</v>
      </c>
      <c r="I52" s="6" t="n">
        <v>165</v>
      </c>
      <c r="J52" s="6">
        <f>I52/(H52/100)^2</f>
        <v/>
      </c>
      <c r="K52" s="8" t="inlineStr">
        <is>
          <t>Xeyr</t>
        </is>
      </c>
      <c r="L52" s="6" t="n">
        <v>11</v>
      </c>
      <c r="M52" s="6" t="inlineStr">
        <is>
          <t>13.07.2024</t>
        </is>
      </c>
    </row>
    <row r="53" ht="17" customHeight="1">
      <c r="A53" s="4" t="inlineStr">
        <is>
          <t>PT-1050</t>
        </is>
      </c>
      <c r="B53" s="4" t="inlineStr">
        <is>
          <t>04.01.2024</t>
        </is>
      </c>
      <c r="C53" s="4" t="n">
        <v>38</v>
      </c>
      <c r="D53" s="4" t="inlineStr">
        <is>
          <t>Qadın</t>
        </is>
      </c>
      <c r="E53" s="4" t="inlineStr">
        <is>
          <t>Bakı</t>
        </is>
      </c>
      <c r="F53" s="4" t="inlineStr">
        <is>
          <t>Tip 2 Diabet</t>
        </is>
      </c>
      <c r="G53" s="8" t="n">
        <v>10.5</v>
      </c>
      <c r="H53" s="4" t="n">
        <v>104</v>
      </c>
      <c r="I53" s="4" t="n">
        <v>182</v>
      </c>
      <c r="J53" s="4">
        <f>I53/(H53/100)^2</f>
        <v/>
      </c>
      <c r="K53" s="8" t="inlineStr">
        <is>
          <t>Xeyr</t>
        </is>
      </c>
      <c r="L53" s="4" t="n">
        <v>6</v>
      </c>
      <c r="M53" s="4" t="inlineStr">
        <is>
          <t>20.09.2024</t>
        </is>
      </c>
    </row>
    <row r="54" ht="17" customHeight="1">
      <c r="A54" s="6" t="inlineStr">
        <is>
          <t>PT-1051</t>
        </is>
      </c>
      <c r="B54" s="6" t="inlineStr">
        <is>
          <t>02.03.2024</t>
        </is>
      </c>
      <c r="C54" s="6" t="n">
        <v>25</v>
      </c>
      <c r="D54" s="6" t="inlineStr">
        <is>
          <t>Qadın</t>
        </is>
      </c>
      <c r="E54" s="6" t="inlineStr">
        <is>
          <t>Sumqayıt</t>
        </is>
      </c>
      <c r="F54" s="6" t="inlineStr">
        <is>
          <t>Tip 2 Diabet</t>
        </is>
      </c>
      <c r="G54" s="8" t="n">
        <v>9.6</v>
      </c>
      <c r="H54" s="6" t="n">
        <v>68.5</v>
      </c>
      <c r="I54" s="6" t="n">
        <v>170</v>
      </c>
      <c r="J54" s="6">
        <f>I54/(H54/100)^2</f>
        <v/>
      </c>
      <c r="K54" s="15" t="inlineStr">
        <is>
          <t>Bəli</t>
        </is>
      </c>
      <c r="L54" s="6" t="n">
        <v>10</v>
      </c>
      <c r="M54" s="6" t="inlineStr">
        <is>
          <t>19.11.2024</t>
        </is>
      </c>
    </row>
    <row r="55" ht="17" customHeight="1">
      <c r="A55" s="4" t="inlineStr">
        <is>
          <t>PT-1052</t>
        </is>
      </c>
      <c r="B55" s="4" t="inlineStr">
        <is>
          <t>08.12.2024</t>
        </is>
      </c>
      <c r="C55" s="4" t="n">
        <v>76</v>
      </c>
      <c r="D55" s="4" t="inlineStr">
        <is>
          <t>Qadın</t>
        </is>
      </c>
      <c r="E55" s="4" t="inlineStr">
        <is>
          <t>Bakı</t>
        </is>
      </c>
      <c r="F55" s="4" t="inlineStr">
        <is>
          <t>Tip 2 Diabet</t>
        </is>
      </c>
      <c r="G55" s="15" t="n">
        <v>6.5</v>
      </c>
      <c r="H55" s="4" t="n">
        <v>109.7</v>
      </c>
      <c r="I55" s="4" t="n">
        <v>159</v>
      </c>
      <c r="J55" s="4">
        <f>I55/(H55/100)^2</f>
        <v/>
      </c>
      <c r="K55" s="8" t="inlineStr">
        <is>
          <t>Xeyr</t>
        </is>
      </c>
      <c r="L55" s="4" t="n">
        <v>2</v>
      </c>
      <c r="M55" s="4" t="inlineStr">
        <is>
          <t>24.10.2024</t>
        </is>
      </c>
    </row>
    <row r="56" ht="17" customHeight="1">
      <c r="A56" s="6" t="inlineStr">
        <is>
          <t>PT-1053</t>
        </is>
      </c>
      <c r="B56" s="6" t="inlineStr">
        <is>
          <t>09.02.2024</t>
        </is>
      </c>
      <c r="C56" s="6" t="n">
        <v>45</v>
      </c>
      <c r="D56" s="6" t="inlineStr">
        <is>
          <t>Qadın</t>
        </is>
      </c>
      <c r="E56" s="6" t="inlineStr">
        <is>
          <t>Bakı</t>
        </is>
      </c>
      <c r="F56" s="6" t="inlineStr">
        <is>
          <t>Tip 2 Diabet</t>
        </is>
      </c>
      <c r="G56" s="7" t="n">
        <v>8.800000000000001</v>
      </c>
      <c r="H56" s="6" t="n">
        <v>100.6</v>
      </c>
      <c r="I56" s="6" t="n">
        <v>171</v>
      </c>
      <c r="J56" s="6">
        <f>I56/(H56/100)^2</f>
        <v/>
      </c>
      <c r="K56" s="8" t="inlineStr">
        <is>
          <t>Xeyr</t>
        </is>
      </c>
      <c r="L56" s="6" t="n">
        <v>3</v>
      </c>
      <c r="M56" s="6" t="inlineStr">
        <is>
          <t>10.10.2024</t>
        </is>
      </c>
    </row>
    <row r="57" ht="17" customHeight="1">
      <c r="A57" s="4" t="inlineStr">
        <is>
          <t>PT-1054</t>
        </is>
      </c>
      <c r="B57" s="4" t="inlineStr">
        <is>
          <t>11.01.2024</t>
        </is>
      </c>
      <c r="C57" s="4" t="n">
        <v>45</v>
      </c>
      <c r="D57" s="4" t="inlineStr">
        <is>
          <t>Kişi</t>
        </is>
      </c>
      <c r="E57" s="4" t="inlineStr">
        <is>
          <t>Bakı</t>
        </is>
      </c>
      <c r="F57" s="4" t="inlineStr">
        <is>
          <t>Tip 2 Diabet</t>
        </is>
      </c>
      <c r="G57" s="8" t="n">
        <v>9.9</v>
      </c>
      <c r="H57" s="4" t="n">
        <v>95.09999999999999</v>
      </c>
      <c r="I57" s="4" t="n">
        <v>184</v>
      </c>
      <c r="J57" s="4">
        <f>I57/(H57/100)^2</f>
        <v/>
      </c>
      <c r="K57" s="8" t="inlineStr">
        <is>
          <t>Xeyr</t>
        </is>
      </c>
      <c r="L57" s="4" t="n">
        <v>3</v>
      </c>
      <c r="M57" s="4" t="inlineStr">
        <is>
          <t>18.10.2024</t>
        </is>
      </c>
    </row>
    <row r="58" ht="17" customHeight="1">
      <c r="A58" s="6" t="inlineStr">
        <is>
          <t>PT-1055</t>
        </is>
      </c>
      <c r="B58" s="6" t="inlineStr">
        <is>
          <t>24.02.2024</t>
        </is>
      </c>
      <c r="C58" s="6" t="n">
        <v>40</v>
      </c>
      <c r="D58" s="6" t="inlineStr">
        <is>
          <t>Qadın</t>
        </is>
      </c>
      <c r="E58" s="6" t="inlineStr">
        <is>
          <t>Şirvan</t>
        </is>
      </c>
      <c r="F58" s="6" t="inlineStr">
        <is>
          <t>Tip 2 Diabet</t>
        </is>
      </c>
      <c r="G58" s="7" t="n">
        <v>8.9</v>
      </c>
      <c r="H58" s="6" t="n">
        <v>89.40000000000001</v>
      </c>
      <c r="I58" s="6" t="n">
        <v>170</v>
      </c>
      <c r="J58" s="6">
        <f>I58/(H58/100)^2</f>
        <v/>
      </c>
      <c r="K58" s="8" t="inlineStr">
        <is>
          <t>Xeyr</t>
        </is>
      </c>
      <c r="L58" s="6" t="n">
        <v>7</v>
      </c>
      <c r="M58" s="6" t="inlineStr">
        <is>
          <t>24.08.2024</t>
        </is>
      </c>
    </row>
    <row r="59" ht="17" customHeight="1">
      <c r="A59" s="4" t="inlineStr">
        <is>
          <t>PT-1056</t>
        </is>
      </c>
      <c r="B59" s="4" t="inlineStr">
        <is>
          <t>19.06.2024</t>
        </is>
      </c>
      <c r="C59" s="4" t="n">
        <v>74</v>
      </c>
      <c r="D59" s="4" t="inlineStr">
        <is>
          <t>Kişi</t>
        </is>
      </c>
      <c r="E59" s="4" t="inlineStr">
        <is>
          <t>Sumqayıt</t>
        </is>
      </c>
      <c r="F59" s="4" t="inlineStr">
        <is>
          <t>Tip 2 Diabet</t>
        </is>
      </c>
      <c r="G59" s="15" t="n">
        <v>6.6</v>
      </c>
      <c r="H59" s="4" t="n">
        <v>96</v>
      </c>
      <c r="I59" s="4" t="n">
        <v>174</v>
      </c>
      <c r="J59" s="4">
        <f>I59/(H59/100)^2</f>
        <v/>
      </c>
      <c r="K59" s="15" t="inlineStr">
        <is>
          <t>Bəli</t>
        </is>
      </c>
      <c r="L59" s="4" t="n">
        <v>7</v>
      </c>
      <c r="M59" s="4" t="inlineStr">
        <is>
          <t>26.09.2024</t>
        </is>
      </c>
    </row>
    <row r="60" ht="17" customHeight="1">
      <c r="A60" s="6" t="inlineStr">
        <is>
          <t>PT-1057</t>
        </is>
      </c>
      <c r="B60" s="6" t="inlineStr">
        <is>
          <t>26.11.2024</t>
        </is>
      </c>
      <c r="C60" s="6" t="n">
        <v>77</v>
      </c>
      <c r="D60" s="6" t="inlineStr">
        <is>
          <t>Kişi</t>
        </is>
      </c>
      <c r="E60" s="6" t="inlineStr">
        <is>
          <t>Şirvan</t>
        </is>
      </c>
      <c r="F60" s="6" t="inlineStr">
        <is>
          <t>Tip 2 Diabet</t>
        </is>
      </c>
      <c r="G60" s="7" t="n">
        <v>7.3</v>
      </c>
      <c r="H60" s="6" t="n">
        <v>66.8</v>
      </c>
      <c r="I60" s="6" t="n">
        <v>164</v>
      </c>
      <c r="J60" s="6">
        <f>I60/(H60/100)^2</f>
        <v/>
      </c>
      <c r="K60" s="15" t="inlineStr">
        <is>
          <t>Bəli</t>
        </is>
      </c>
      <c r="L60" s="6" t="n">
        <v>11</v>
      </c>
      <c r="M60" s="6" t="inlineStr">
        <is>
          <t>07.08.2024</t>
        </is>
      </c>
    </row>
    <row r="61" ht="17" customHeight="1">
      <c r="A61" s="4" t="inlineStr">
        <is>
          <t>PT-1058</t>
        </is>
      </c>
      <c r="B61" s="4" t="inlineStr">
        <is>
          <t>01.12.2024</t>
        </is>
      </c>
      <c r="C61" s="4" t="n">
        <v>29</v>
      </c>
      <c r="D61" s="4" t="inlineStr">
        <is>
          <t>Kişi</t>
        </is>
      </c>
      <c r="E61" s="4" t="inlineStr">
        <is>
          <t>Sumqayıt</t>
        </is>
      </c>
      <c r="F61" s="4" t="inlineStr">
        <is>
          <t>Tip 2 Diabet</t>
        </is>
      </c>
      <c r="G61" s="8" t="n">
        <v>10.6</v>
      </c>
      <c r="H61" s="4" t="n">
        <v>95.7</v>
      </c>
      <c r="I61" s="4" t="n">
        <v>172</v>
      </c>
      <c r="J61" s="4">
        <f>I61/(H61/100)^2</f>
        <v/>
      </c>
      <c r="K61" s="8" t="inlineStr">
        <is>
          <t>Xeyr</t>
        </is>
      </c>
      <c r="L61" s="4" t="n">
        <v>12</v>
      </c>
      <c r="M61" s="4" t="inlineStr">
        <is>
          <t>20.11.2024</t>
        </is>
      </c>
    </row>
    <row r="62" ht="17" customHeight="1">
      <c r="A62" s="6" t="inlineStr">
        <is>
          <t>PT-1059</t>
        </is>
      </c>
      <c r="B62" s="6" t="inlineStr">
        <is>
          <t>25.11.2024</t>
        </is>
      </c>
      <c r="C62" s="6" t="n">
        <v>65</v>
      </c>
      <c r="D62" s="6" t="inlineStr">
        <is>
          <t>Qadın</t>
        </is>
      </c>
      <c r="E62" s="6" t="inlineStr">
        <is>
          <t>Gəncə</t>
        </is>
      </c>
      <c r="F62" s="6" t="inlineStr">
        <is>
          <t>Tip 2 Diabet</t>
        </is>
      </c>
      <c r="G62" s="8" t="n">
        <v>10.2</v>
      </c>
      <c r="H62" s="6" t="n">
        <v>95.59999999999999</v>
      </c>
      <c r="I62" s="6" t="n">
        <v>162</v>
      </c>
      <c r="J62" s="6">
        <f>I62/(H62/100)^2</f>
        <v/>
      </c>
      <c r="K62" s="8" t="inlineStr">
        <is>
          <t>Xeyr</t>
        </is>
      </c>
      <c r="L62" s="6" t="n">
        <v>3</v>
      </c>
      <c r="M62" s="6" t="inlineStr">
        <is>
          <t>27.10.2024</t>
        </is>
      </c>
    </row>
    <row r="63" ht="17" customHeight="1">
      <c r="A63" s="4" t="inlineStr">
        <is>
          <t>PT-1060</t>
        </is>
      </c>
      <c r="B63" s="4" t="inlineStr">
        <is>
          <t>14.08.2024</t>
        </is>
      </c>
      <c r="C63" s="4" t="n">
        <v>65</v>
      </c>
      <c r="D63" s="4" t="inlineStr">
        <is>
          <t>Qadın</t>
        </is>
      </c>
      <c r="E63" s="4" t="inlineStr">
        <is>
          <t>Gəncə</t>
        </is>
      </c>
      <c r="F63" s="4" t="inlineStr">
        <is>
          <t>Tip 2 Diabet</t>
        </is>
      </c>
      <c r="G63" s="8" t="n">
        <v>9.9</v>
      </c>
      <c r="H63" s="4" t="n">
        <v>93.5</v>
      </c>
      <c r="I63" s="4" t="n">
        <v>169</v>
      </c>
      <c r="J63" s="4">
        <f>I63/(H63/100)^2</f>
        <v/>
      </c>
      <c r="K63" s="15" t="inlineStr">
        <is>
          <t>Bəli</t>
        </is>
      </c>
      <c r="L63" s="4" t="n">
        <v>6</v>
      </c>
      <c r="M63" s="4" t="inlineStr">
        <is>
          <t>25.10.2024</t>
        </is>
      </c>
    </row>
    <row r="64" ht="17" customHeight="1">
      <c r="A64" s="6" t="inlineStr">
        <is>
          <t>PT-1061</t>
        </is>
      </c>
      <c r="B64" s="6" t="inlineStr">
        <is>
          <t>19.08.2024</t>
        </is>
      </c>
      <c r="C64" s="6" t="n">
        <v>27</v>
      </c>
      <c r="D64" s="6" t="inlineStr">
        <is>
          <t>Kişi</t>
        </is>
      </c>
      <c r="E64" s="6" t="inlineStr">
        <is>
          <t>Sumqayıt</t>
        </is>
      </c>
      <c r="F64" s="6" t="inlineStr">
        <is>
          <t>Tip 2 Diabet</t>
        </is>
      </c>
      <c r="G64" s="7" t="n">
        <v>7.9</v>
      </c>
      <c r="H64" s="6" t="n">
        <v>75.2</v>
      </c>
      <c r="I64" s="6" t="n">
        <v>178</v>
      </c>
      <c r="J64" s="6">
        <f>I64/(H64/100)^2</f>
        <v/>
      </c>
      <c r="K64" s="15" t="inlineStr">
        <is>
          <t>Bəli</t>
        </is>
      </c>
      <c r="L64" s="6" t="n">
        <v>11</v>
      </c>
      <c r="M64" s="6" t="inlineStr">
        <is>
          <t>28.11.2024</t>
        </is>
      </c>
    </row>
    <row r="65" ht="17" customHeight="1">
      <c r="A65" s="4" t="inlineStr">
        <is>
          <t>PT-1062</t>
        </is>
      </c>
      <c r="B65" s="4" t="inlineStr">
        <is>
          <t>16.09.2024</t>
        </is>
      </c>
      <c r="C65" s="4" t="n">
        <v>49</v>
      </c>
      <c r="D65" s="4" t="inlineStr">
        <is>
          <t>Qadın</t>
        </is>
      </c>
      <c r="E65" s="4" t="inlineStr">
        <is>
          <t>Sumqayıt</t>
        </is>
      </c>
      <c r="F65" s="4" t="inlineStr">
        <is>
          <t>Tip 2 Diabet</t>
        </is>
      </c>
      <c r="G65" s="7" t="n">
        <v>8.9</v>
      </c>
      <c r="H65" s="4" t="n">
        <v>115.3</v>
      </c>
      <c r="I65" s="4" t="n">
        <v>181</v>
      </c>
      <c r="J65" s="4">
        <f>I65/(H65/100)^2</f>
        <v/>
      </c>
      <c r="K65" s="15" t="inlineStr">
        <is>
          <t>Bəli</t>
        </is>
      </c>
      <c r="L65" s="4" t="n">
        <v>9</v>
      </c>
      <c r="M65" s="4" t="inlineStr">
        <is>
          <t>22.11.2024</t>
        </is>
      </c>
    </row>
    <row r="66" ht="17" customHeight="1">
      <c r="A66" s="6" t="inlineStr">
        <is>
          <t>PT-1063</t>
        </is>
      </c>
      <c r="B66" s="6" t="inlineStr">
        <is>
          <t>29.11.2024</t>
        </is>
      </c>
      <c r="C66" s="6" t="n">
        <v>37</v>
      </c>
      <c r="D66" s="6" t="inlineStr">
        <is>
          <t>Qadın</t>
        </is>
      </c>
      <c r="E66" s="6" t="inlineStr">
        <is>
          <t>Sumqayıt</t>
        </is>
      </c>
      <c r="F66" s="6" t="inlineStr">
        <is>
          <t>Tip 2 Diabet</t>
        </is>
      </c>
      <c r="G66" s="7" t="n">
        <v>9</v>
      </c>
      <c r="H66" s="6" t="n">
        <v>88.09999999999999</v>
      </c>
      <c r="I66" s="6" t="n">
        <v>188</v>
      </c>
      <c r="J66" s="6">
        <f>I66/(H66/100)^2</f>
        <v/>
      </c>
      <c r="K66" s="15" t="inlineStr">
        <is>
          <t>Bəli</t>
        </is>
      </c>
      <c r="L66" s="6" t="n">
        <v>9</v>
      </c>
      <c r="M66" s="6" t="inlineStr">
        <is>
          <t>25.07.2024</t>
        </is>
      </c>
    </row>
    <row r="67" ht="17" customHeight="1">
      <c r="A67" s="4" t="inlineStr">
        <is>
          <t>PT-1064</t>
        </is>
      </c>
      <c r="B67" s="4" t="inlineStr">
        <is>
          <t>24.06.2024</t>
        </is>
      </c>
      <c r="C67" s="4" t="n">
        <v>70</v>
      </c>
      <c r="D67" s="4" t="inlineStr">
        <is>
          <t>Kişi</t>
        </is>
      </c>
      <c r="E67" s="4" t="inlineStr">
        <is>
          <t>Bakı</t>
        </is>
      </c>
      <c r="F67" s="4" t="inlineStr">
        <is>
          <t>Tip 2 Diabet</t>
        </is>
      </c>
      <c r="G67" s="7" t="n">
        <v>8.5</v>
      </c>
      <c r="H67" s="4" t="n">
        <v>68.40000000000001</v>
      </c>
      <c r="I67" s="4" t="n">
        <v>165</v>
      </c>
      <c r="J67" s="4">
        <f>I67/(H67/100)^2</f>
        <v/>
      </c>
      <c r="K67" s="8" t="inlineStr">
        <is>
          <t>Xeyr</t>
        </is>
      </c>
      <c r="L67" s="4" t="n">
        <v>9</v>
      </c>
      <c r="M67" s="4" t="inlineStr">
        <is>
          <t>10.11.2024</t>
        </is>
      </c>
    </row>
    <row r="68" ht="17" customHeight="1">
      <c r="A68" s="6" t="inlineStr">
        <is>
          <t>PT-1065</t>
        </is>
      </c>
      <c r="B68" s="6" t="inlineStr">
        <is>
          <t>24.09.2024</t>
        </is>
      </c>
      <c r="C68" s="6" t="n">
        <v>64</v>
      </c>
      <c r="D68" s="6" t="inlineStr">
        <is>
          <t>Kişi</t>
        </is>
      </c>
      <c r="E68" s="6" t="inlineStr">
        <is>
          <t>Lənkəran</t>
        </is>
      </c>
      <c r="F68" s="6" t="inlineStr">
        <is>
          <t>Tip 2 Diabet</t>
        </is>
      </c>
      <c r="G68" s="7" t="n">
        <v>7.9</v>
      </c>
      <c r="H68" s="6" t="n">
        <v>113.1</v>
      </c>
      <c r="I68" s="6" t="n">
        <v>170</v>
      </c>
      <c r="J68" s="6">
        <f>I68/(H68/100)^2</f>
        <v/>
      </c>
      <c r="K68" s="8" t="inlineStr">
        <is>
          <t>Xeyr</t>
        </is>
      </c>
      <c r="L68" s="6" t="n">
        <v>7</v>
      </c>
      <c r="M68" s="6" t="inlineStr">
        <is>
          <t>19.12.2024</t>
        </is>
      </c>
    </row>
    <row r="69" ht="17" customHeight="1">
      <c r="A69" s="4" t="inlineStr">
        <is>
          <t>PT-1066</t>
        </is>
      </c>
      <c r="B69" s="4" t="inlineStr">
        <is>
          <t>02.11.2024</t>
        </is>
      </c>
      <c r="C69" s="4" t="n">
        <v>28</v>
      </c>
      <c r="D69" s="4" t="inlineStr">
        <is>
          <t>Qadın</t>
        </is>
      </c>
      <c r="E69" s="4" t="inlineStr">
        <is>
          <t>Lənkəran</t>
        </is>
      </c>
      <c r="F69" s="4" t="inlineStr">
        <is>
          <t>Tip 2 Diabet</t>
        </is>
      </c>
      <c r="G69" s="15" t="n">
        <v>6.5</v>
      </c>
      <c r="H69" s="4" t="n">
        <v>63.7</v>
      </c>
      <c r="I69" s="4" t="n">
        <v>179</v>
      </c>
      <c r="J69" s="4">
        <f>I69/(H69/100)^2</f>
        <v/>
      </c>
      <c r="K69" s="8" t="inlineStr">
        <is>
          <t>Xeyr</t>
        </is>
      </c>
      <c r="L69" s="4" t="n">
        <v>6</v>
      </c>
      <c r="M69" s="4" t="inlineStr">
        <is>
          <t>01.09.2024</t>
        </is>
      </c>
    </row>
    <row r="70" ht="17" customHeight="1">
      <c r="A70" s="6" t="inlineStr">
        <is>
          <t>PT-1067</t>
        </is>
      </c>
      <c r="B70" s="6" t="inlineStr">
        <is>
          <t>02.12.2024</t>
        </is>
      </c>
      <c r="C70" s="6" t="n">
        <v>63</v>
      </c>
      <c r="D70" s="6" t="inlineStr">
        <is>
          <t>Kişi</t>
        </is>
      </c>
      <c r="E70" s="6" t="inlineStr">
        <is>
          <t>Bakı</t>
        </is>
      </c>
      <c r="F70" s="6" t="inlineStr">
        <is>
          <t>Tip 2 Diabet</t>
        </is>
      </c>
      <c r="G70" s="7" t="n">
        <v>7.7</v>
      </c>
      <c r="H70" s="6" t="n">
        <v>93</v>
      </c>
      <c r="I70" s="6" t="n">
        <v>162</v>
      </c>
      <c r="J70" s="6">
        <f>I70/(H70/100)^2</f>
        <v/>
      </c>
      <c r="K70" s="8" t="inlineStr">
        <is>
          <t>Xeyr</t>
        </is>
      </c>
      <c r="L70" s="6" t="n">
        <v>6</v>
      </c>
      <c r="M70" s="6" t="inlineStr">
        <is>
          <t>13.12.2024</t>
        </is>
      </c>
    </row>
    <row r="71" ht="17" customHeight="1">
      <c r="A71" s="4" t="inlineStr">
        <is>
          <t>PT-1068</t>
        </is>
      </c>
      <c r="B71" s="4" t="inlineStr">
        <is>
          <t>23.12.2024</t>
        </is>
      </c>
      <c r="C71" s="4" t="n">
        <v>67</v>
      </c>
      <c r="D71" s="4" t="inlineStr">
        <is>
          <t>Qadın</t>
        </is>
      </c>
      <c r="E71" s="4" t="inlineStr">
        <is>
          <t>Şirvan</t>
        </is>
      </c>
      <c r="F71" s="4" t="inlineStr">
        <is>
          <t>Tip 2 Diabet</t>
        </is>
      </c>
      <c r="G71" s="15" t="n">
        <v>6.8</v>
      </c>
      <c r="H71" s="4" t="n">
        <v>100.5</v>
      </c>
      <c r="I71" s="4" t="n">
        <v>160</v>
      </c>
      <c r="J71" s="4">
        <f>I71/(H71/100)^2</f>
        <v/>
      </c>
      <c r="K71" s="8" t="inlineStr">
        <is>
          <t>Xeyr</t>
        </is>
      </c>
      <c r="L71" s="4" t="n">
        <v>10</v>
      </c>
      <c r="M71" s="4" t="inlineStr">
        <is>
          <t>03.10.2024</t>
        </is>
      </c>
    </row>
    <row r="72" ht="17" customHeight="1">
      <c r="A72" s="6" t="inlineStr">
        <is>
          <t>PT-1069</t>
        </is>
      </c>
      <c r="B72" s="6" t="inlineStr">
        <is>
          <t>25.11.2024</t>
        </is>
      </c>
      <c r="C72" s="6" t="n">
        <v>75</v>
      </c>
      <c r="D72" s="6" t="inlineStr">
        <is>
          <t>Qadın</t>
        </is>
      </c>
      <c r="E72" s="6" t="inlineStr">
        <is>
          <t>Gəncə</t>
        </is>
      </c>
      <c r="F72" s="6" t="inlineStr">
        <is>
          <t>Tip 2 Diabet</t>
        </is>
      </c>
      <c r="G72" s="8" t="n">
        <v>9.9</v>
      </c>
      <c r="H72" s="6" t="n">
        <v>98.2</v>
      </c>
      <c r="I72" s="6" t="n">
        <v>184</v>
      </c>
      <c r="J72" s="6">
        <f>I72/(H72/100)^2</f>
        <v/>
      </c>
      <c r="K72" s="15" t="inlineStr">
        <is>
          <t>Bəli</t>
        </is>
      </c>
      <c r="L72" s="6" t="n">
        <v>12</v>
      </c>
      <c r="M72" s="6" t="inlineStr">
        <is>
          <t>17.12.2024</t>
        </is>
      </c>
    </row>
    <row r="73" ht="17" customHeight="1">
      <c r="A73" s="4" t="inlineStr">
        <is>
          <t>PT-1070</t>
        </is>
      </c>
      <c r="B73" s="4" t="inlineStr">
        <is>
          <t>04.08.2024</t>
        </is>
      </c>
      <c r="C73" s="4" t="n">
        <v>57</v>
      </c>
      <c r="D73" s="4" t="inlineStr">
        <is>
          <t>Qadın</t>
        </is>
      </c>
      <c r="E73" s="4" t="inlineStr">
        <is>
          <t>Bakı</t>
        </is>
      </c>
      <c r="F73" s="4" t="inlineStr">
        <is>
          <t>Tip 2 Diabet</t>
        </is>
      </c>
      <c r="G73" s="15" t="n">
        <v>6.3</v>
      </c>
      <c r="H73" s="4" t="n">
        <v>76.5</v>
      </c>
      <c r="I73" s="4" t="n">
        <v>188</v>
      </c>
      <c r="J73" s="4">
        <f>I73/(H73/100)^2</f>
        <v/>
      </c>
      <c r="K73" s="15" t="inlineStr">
        <is>
          <t>Bəli</t>
        </is>
      </c>
      <c r="L73" s="4" t="n">
        <v>7</v>
      </c>
      <c r="M73" s="4" t="inlineStr">
        <is>
          <t>31.10.2024</t>
        </is>
      </c>
    </row>
    <row r="74" ht="17" customHeight="1">
      <c r="A74" s="6" t="inlineStr">
        <is>
          <t>PT-1071</t>
        </is>
      </c>
      <c r="B74" s="6" t="inlineStr">
        <is>
          <t>08.04.2024</t>
        </is>
      </c>
      <c r="C74" s="6" t="n">
        <v>39</v>
      </c>
      <c r="D74" s="6" t="inlineStr">
        <is>
          <t>Kişi</t>
        </is>
      </c>
      <c r="E74" s="6" t="inlineStr">
        <is>
          <t>Gəncə</t>
        </is>
      </c>
      <c r="F74" s="6" t="inlineStr">
        <is>
          <t>Tip 2 Diabet</t>
        </is>
      </c>
      <c r="G74" s="15" t="n">
        <v>6.9</v>
      </c>
      <c r="H74" s="6" t="n">
        <v>75.7</v>
      </c>
      <c r="I74" s="6" t="n">
        <v>183</v>
      </c>
      <c r="J74" s="6">
        <f>I74/(H74/100)^2</f>
        <v/>
      </c>
      <c r="K74" s="15" t="inlineStr">
        <is>
          <t>Bəli</t>
        </is>
      </c>
      <c r="L74" s="6" t="n">
        <v>10</v>
      </c>
      <c r="M74" s="6" t="inlineStr">
        <is>
          <t>14.11.2024</t>
        </is>
      </c>
    </row>
    <row r="75" ht="17" customHeight="1">
      <c r="A75" s="4" t="inlineStr">
        <is>
          <t>PT-1072</t>
        </is>
      </c>
      <c r="B75" s="4" t="inlineStr">
        <is>
          <t>26.09.2024</t>
        </is>
      </c>
      <c r="C75" s="4" t="n">
        <v>27</v>
      </c>
      <c r="D75" s="4" t="inlineStr">
        <is>
          <t>Qadın</t>
        </is>
      </c>
      <c r="E75" s="4" t="inlineStr">
        <is>
          <t>Sumqayıt</t>
        </is>
      </c>
      <c r="F75" s="4" t="inlineStr">
        <is>
          <t>Tip 2 Diabet</t>
        </is>
      </c>
      <c r="G75" s="8" t="n">
        <v>10.2</v>
      </c>
      <c r="H75" s="4" t="n">
        <v>95.09999999999999</v>
      </c>
      <c r="I75" s="4" t="n">
        <v>177</v>
      </c>
      <c r="J75" s="4">
        <f>I75/(H75/100)^2</f>
        <v/>
      </c>
      <c r="K75" s="8" t="inlineStr">
        <is>
          <t>Xeyr</t>
        </is>
      </c>
      <c r="L75" s="4" t="n">
        <v>4</v>
      </c>
      <c r="M75" s="4" t="inlineStr">
        <is>
          <t>09.08.2024</t>
        </is>
      </c>
    </row>
    <row r="76" ht="17" customHeight="1">
      <c r="A76" s="6" t="inlineStr">
        <is>
          <t>PT-1073</t>
        </is>
      </c>
      <c r="B76" s="6" t="inlineStr">
        <is>
          <t>02.04.2024</t>
        </is>
      </c>
      <c r="C76" s="6" t="n">
        <v>78</v>
      </c>
      <c r="D76" s="6" t="inlineStr">
        <is>
          <t>Kişi</t>
        </is>
      </c>
      <c r="E76" s="6" t="inlineStr">
        <is>
          <t>Gəncə</t>
        </is>
      </c>
      <c r="F76" s="6" t="inlineStr">
        <is>
          <t>Tip 2 Diabet</t>
        </is>
      </c>
      <c r="G76" s="8" t="n">
        <v>9.5</v>
      </c>
      <c r="H76" s="6" t="n">
        <v>60.6</v>
      </c>
      <c r="I76" s="6" t="n">
        <v>169</v>
      </c>
      <c r="J76" s="6">
        <f>I76/(H76/100)^2</f>
        <v/>
      </c>
      <c r="K76" s="15" t="inlineStr">
        <is>
          <t>Bəli</t>
        </is>
      </c>
      <c r="L76" s="6" t="n">
        <v>9</v>
      </c>
      <c r="M76" s="6" t="inlineStr">
        <is>
          <t>02.12.2024</t>
        </is>
      </c>
    </row>
    <row r="77" ht="17" customHeight="1">
      <c r="A77" s="4" t="inlineStr">
        <is>
          <t>PT-1074</t>
        </is>
      </c>
      <c r="B77" s="4" t="inlineStr">
        <is>
          <t>25.05.2024</t>
        </is>
      </c>
      <c r="C77" s="4" t="n">
        <v>73</v>
      </c>
      <c r="D77" s="4" t="inlineStr">
        <is>
          <t>Qadın</t>
        </is>
      </c>
      <c r="E77" s="4" t="inlineStr">
        <is>
          <t>Bakı</t>
        </is>
      </c>
      <c r="F77" s="4" t="inlineStr">
        <is>
          <t>Tip 2 Diabet</t>
        </is>
      </c>
      <c r="G77" s="7" t="n">
        <v>7.3</v>
      </c>
      <c r="H77" s="4" t="n">
        <v>72.40000000000001</v>
      </c>
      <c r="I77" s="4" t="n">
        <v>188</v>
      </c>
      <c r="J77" s="4">
        <f>I77/(H77/100)^2</f>
        <v/>
      </c>
      <c r="K77" s="8" t="inlineStr">
        <is>
          <t>Xeyr</t>
        </is>
      </c>
      <c r="L77" s="4" t="n">
        <v>5</v>
      </c>
      <c r="M77" s="4" t="inlineStr">
        <is>
          <t>01.10.2024</t>
        </is>
      </c>
    </row>
    <row r="78" ht="17" customHeight="1">
      <c r="A78" s="6" t="inlineStr">
        <is>
          <t>PT-1075</t>
        </is>
      </c>
      <c r="B78" s="6" t="inlineStr">
        <is>
          <t>13.12.2024</t>
        </is>
      </c>
      <c r="C78" s="6" t="n">
        <v>61</v>
      </c>
      <c r="D78" s="6" t="inlineStr">
        <is>
          <t>Qadın</t>
        </is>
      </c>
      <c r="E78" s="6" t="inlineStr">
        <is>
          <t>Lənkəran</t>
        </is>
      </c>
      <c r="F78" s="6" t="inlineStr">
        <is>
          <t>Tip 2 Diabet</t>
        </is>
      </c>
      <c r="G78" s="7" t="n">
        <v>8.300000000000001</v>
      </c>
      <c r="H78" s="6" t="n">
        <v>74.90000000000001</v>
      </c>
      <c r="I78" s="6" t="n">
        <v>170</v>
      </c>
      <c r="J78" s="6">
        <f>I78/(H78/100)^2</f>
        <v/>
      </c>
      <c r="K78" s="8" t="inlineStr">
        <is>
          <t>Xeyr</t>
        </is>
      </c>
      <c r="L78" s="6" t="n">
        <v>4</v>
      </c>
      <c r="M78" s="6" t="inlineStr">
        <is>
          <t>19.08.2024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  <col width="14" customWidth="1" min="6" max="6"/>
    <col width="30" customWidth="1" min="7" max="7"/>
  </cols>
  <sheetData>
    <row r="1" ht="28" customHeight="1">
      <c r="A1" s="18" t="inlineStr">
        <is>
          <t>📊  REGIONAL ANALİTİK XÜLASƏ  |  Tip 2 Diabet  |  Azərbaycan 2024</t>
        </is>
      </c>
    </row>
    <row r="2" ht="22" customHeight="1">
      <c r="A2" s="13" t="inlineStr">
        <is>
          <t>Region</t>
        </is>
      </c>
      <c r="B2" s="13" t="inlineStr">
        <is>
          <t>Pasiyent sayı</t>
        </is>
      </c>
      <c r="C2" s="13" t="inlineStr">
        <is>
          <t>Ort. HbA1c (%)</t>
        </is>
      </c>
      <c r="D2" s="13" t="inlineStr">
        <is>
          <t>Uyğunluq (%)</t>
        </is>
      </c>
      <c r="E2" s="13" t="inlineStr">
        <is>
          <t>Yenidən qəbul (%)</t>
        </is>
      </c>
      <c r="F2" s="13" t="inlineStr">
        <is>
          <t>Risk səviyyəsi</t>
        </is>
      </c>
      <c r="G2" s="13" t="inlineStr">
        <is>
          <t>Tövsiyə</t>
        </is>
      </c>
    </row>
    <row r="3" ht="20" customHeight="1">
      <c r="A3" s="19" t="inlineStr">
        <is>
          <t>Bakı</t>
        </is>
      </c>
      <c r="B3" s="19" t="n">
        <v>311</v>
      </c>
      <c r="C3" s="19" t="n">
        <v>7.4</v>
      </c>
      <c r="D3" s="20" t="n">
        <v>74</v>
      </c>
      <c r="E3" s="19" t="n">
        <v>17</v>
      </c>
      <c r="F3" s="20" t="inlineStr">
        <is>
          <t>Aşağı</t>
        </is>
      </c>
      <c r="G3" s="4" t="inlineStr">
        <is>
          <t>Monitorinq davam etsin</t>
        </is>
      </c>
    </row>
    <row r="4" ht="20" customHeight="1">
      <c r="A4" s="21" t="inlineStr">
        <is>
          <t>Sumqayıt</t>
        </is>
      </c>
      <c r="B4" s="21" t="n">
        <v>198</v>
      </c>
      <c r="C4" s="21" t="n">
        <v>8</v>
      </c>
      <c r="D4" s="21" t="n">
        <v>63</v>
      </c>
      <c r="E4" s="21" t="n">
        <v>22</v>
      </c>
      <c r="F4" s="22" t="inlineStr">
        <is>
          <t>Orta</t>
        </is>
      </c>
      <c r="G4" s="6" t="inlineStr">
        <is>
          <t>SMS xatırlatma sistemi</t>
        </is>
      </c>
    </row>
    <row r="5" ht="20" customHeight="1">
      <c r="A5" s="19" t="inlineStr">
        <is>
          <t>Gəncə</t>
        </is>
      </c>
      <c r="B5" s="19" t="n">
        <v>163</v>
      </c>
      <c r="C5" s="23" t="n">
        <v>8.5</v>
      </c>
      <c r="D5" s="23" t="n">
        <v>54</v>
      </c>
      <c r="E5" s="19" t="n">
        <v>28</v>
      </c>
      <c r="F5" s="23" t="inlineStr">
        <is>
          <t>Yüksək</t>
        </is>
      </c>
      <c r="G5" s="4" t="inlineStr">
        <is>
          <t>Mobil əczaxana pilot</t>
        </is>
      </c>
    </row>
    <row r="6" ht="20" customHeight="1">
      <c r="A6" s="21" t="inlineStr">
        <is>
          <t>Lənkəran</t>
        </is>
      </c>
      <c r="B6" s="21" t="n">
        <v>142</v>
      </c>
      <c r="C6" s="23" t="n">
        <v>8.9</v>
      </c>
      <c r="D6" s="23" t="n">
        <v>49</v>
      </c>
      <c r="E6" s="21" t="n">
        <v>31</v>
      </c>
      <c r="F6" s="24" t="inlineStr">
        <is>
          <t>Kritik</t>
        </is>
      </c>
      <c r="G6" s="6" t="inlineStr">
        <is>
          <t>Mobil əczaxana + teletibb</t>
        </is>
      </c>
    </row>
    <row r="7" ht="20" customHeight="1">
      <c r="A7" s="19" t="inlineStr">
        <is>
          <t>Şirvan</t>
        </is>
      </c>
      <c r="B7" s="19" t="n">
        <v>158</v>
      </c>
      <c r="C7" s="19" t="n">
        <v>8.199999999999999</v>
      </c>
      <c r="D7" s="19" t="n">
        <v>58</v>
      </c>
      <c r="E7" s="19" t="n">
        <v>25</v>
      </c>
      <c r="F7" s="22" t="inlineStr">
        <is>
          <t>Orta</t>
        </is>
      </c>
      <c r="G7" s="4" t="inlineStr">
        <is>
          <t>SMS xatırlatma sistemi</t>
        </is>
      </c>
    </row>
    <row r="8" ht="22" customHeight="1">
      <c r="A8" s="25" t="inlineStr">
        <is>
          <t>CƏMİ / ORT.</t>
        </is>
      </c>
      <c r="B8" s="25" t="n">
        <v>772</v>
      </c>
      <c r="C8" s="25">
        <f>AVERAGE(C3:C7)</f>
        <v/>
      </c>
      <c r="D8" s="25">
        <f>AVERAGE(D3:D7)</f>
        <v/>
      </c>
      <c r="E8" s="25">
        <f>AVERAGE(E3:E7)</f>
        <v/>
      </c>
      <c r="F8" s="25" t="inlineStr">
        <is>
          <t>—</t>
        </is>
      </c>
      <c r="G8" s="25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2026-06-09T10:40:51Z</dcterms:created>
  <dcterms:modified xmlns:dcterms="http://purl.org/dc/terms/" xmlns:xsi="http://www.w3.org/2001/XMLSchema-instance" xsi:type="dcterms:W3CDTF">2026-06-09T10:40:51Z</dcterms:modified>
</cp:coreProperties>
</file>